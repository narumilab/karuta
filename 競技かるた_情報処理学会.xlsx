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E4BC6700-2589-443F-BB55-AC6595B9C9DB}" xr6:coauthVersionLast="47" xr6:coauthVersionMax="47" xr10:uidLastSave="{00000000-0000-0000-0000-000000000000}"/>
  <bookViews>
    <workbookView xWindow="-4106" yWindow="-13714" windowWidth="16629" windowHeight="13080" xr2:uid="{71F269F8-7218-49DD-9A31-7416922EF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  <c r="H74" i="1"/>
  <c r="H69" i="1"/>
  <c r="H64" i="1"/>
  <c r="H59" i="1"/>
  <c r="H54" i="1"/>
  <c r="H49" i="1"/>
  <c r="H44" i="1"/>
  <c r="H39" i="1"/>
  <c r="H34" i="1"/>
  <c r="G74" i="1"/>
  <c r="G69" i="1"/>
  <c r="G64" i="1"/>
  <c r="G59" i="1"/>
  <c r="G54" i="1"/>
  <c r="G49" i="1"/>
  <c r="G44" i="1"/>
  <c r="G39" i="1"/>
  <c r="G34" i="1"/>
  <c r="G79" i="1" s="1"/>
  <c r="AH29" i="1" l="1"/>
  <c r="P60" i="1"/>
  <c r="G23" i="1"/>
  <c r="G20" i="1"/>
  <c r="G8" i="1"/>
  <c r="G5" i="1"/>
  <c r="G26" i="1"/>
  <c r="G17" i="1"/>
  <c r="G14" i="1"/>
  <c r="G11" i="1"/>
  <c r="G2" i="1"/>
  <c r="G29" i="1" s="1"/>
</calcChain>
</file>

<file path=xl/sharedStrings.xml><?xml version="1.0" encoding="utf-8"?>
<sst xmlns="http://schemas.openxmlformats.org/spreadsheetml/2006/main" count="283" uniqueCount="55">
  <si>
    <t>なげけ</t>
    <phoneticPr fontId="1"/>
  </si>
  <si>
    <t>なげき</t>
    <phoneticPr fontId="1"/>
  </si>
  <si>
    <t>おおえ</t>
    <phoneticPr fontId="1"/>
  </si>
  <si>
    <t>おおけ</t>
    <phoneticPr fontId="1"/>
  </si>
  <si>
    <t>おおこ</t>
    <phoneticPr fontId="1"/>
  </si>
  <si>
    <t>わすら</t>
    <phoneticPr fontId="1"/>
  </si>
  <si>
    <t>わすれ</t>
    <phoneticPr fontId="1"/>
  </si>
  <si>
    <t>やまが</t>
    <phoneticPr fontId="1"/>
  </si>
  <si>
    <t>やまざ</t>
    <phoneticPr fontId="1"/>
  </si>
  <si>
    <t>data1</t>
    <phoneticPr fontId="1"/>
  </si>
  <si>
    <t>data2</t>
    <phoneticPr fontId="1"/>
  </si>
  <si>
    <t>data3</t>
    <phoneticPr fontId="1"/>
  </si>
  <si>
    <t>data4</t>
    <phoneticPr fontId="1"/>
  </si>
  <si>
    <t>data5</t>
    <phoneticPr fontId="1"/>
  </si>
  <si>
    <t>予測時間：本研究</t>
    <rPh sb="0" eb="4">
      <t>ヨソクジカン</t>
    </rPh>
    <rPh sb="5" eb="8">
      <t>ホンケンキュウ</t>
    </rPh>
    <phoneticPr fontId="1"/>
  </si>
  <si>
    <t>予測時間：先行研究</t>
    <rPh sb="0" eb="4">
      <t>ヨソクジカン</t>
    </rPh>
    <rPh sb="5" eb="7">
      <t>センコウ</t>
    </rPh>
    <rPh sb="7" eb="9">
      <t>ケンキュウ</t>
    </rPh>
    <phoneticPr fontId="1"/>
  </si>
  <si>
    <t>予測精度：本研究</t>
    <rPh sb="0" eb="2">
      <t>ヨソク</t>
    </rPh>
    <rPh sb="2" eb="4">
      <t>セイド</t>
    </rPh>
    <rPh sb="5" eb="8">
      <t>ホンケンキュウ</t>
    </rPh>
    <phoneticPr fontId="1"/>
  </si>
  <si>
    <t>予測精度：先行研究</t>
    <rPh sb="0" eb="4">
      <t>ヨソクセイド</t>
    </rPh>
    <rPh sb="5" eb="7">
      <t>センコウ</t>
    </rPh>
    <rPh sb="7" eb="9">
      <t>ケンキュウ</t>
    </rPh>
    <phoneticPr fontId="1"/>
  </si>
  <si>
    <t>予測精度：音声の長さ</t>
    <rPh sb="0" eb="4">
      <t>ヨソクセイド</t>
    </rPh>
    <rPh sb="5" eb="7">
      <t>オンセイ</t>
    </rPh>
    <rPh sb="8" eb="9">
      <t>ナガ</t>
    </rPh>
    <phoneticPr fontId="1"/>
  </si>
  <si>
    <t>30ms</t>
    <phoneticPr fontId="1"/>
  </si>
  <si>
    <t>70ms</t>
    <phoneticPr fontId="1"/>
  </si>
  <si>
    <t>110ms</t>
    <phoneticPr fontId="1"/>
  </si>
  <si>
    <t>190ms</t>
    <phoneticPr fontId="1"/>
  </si>
  <si>
    <t>270ms</t>
    <phoneticPr fontId="1"/>
  </si>
  <si>
    <t>予測精度：状態分布1:1</t>
    <rPh sb="0" eb="4">
      <t>ヨソクセイド</t>
    </rPh>
    <rPh sb="5" eb="7">
      <t>ジョウタイ</t>
    </rPh>
    <rPh sb="7" eb="9">
      <t>ブンプ</t>
    </rPh>
    <phoneticPr fontId="1"/>
  </si>
  <si>
    <t>平均</t>
    <rPh sb="0" eb="2">
      <t>ヘイキン</t>
    </rPh>
    <phoneticPr fontId="1"/>
  </si>
  <si>
    <t>精度</t>
    <rPh sb="0" eb="2">
      <t>セイド</t>
    </rPh>
    <phoneticPr fontId="1"/>
  </si>
  <si>
    <t>0.370(フレーム8，10欠落)</t>
    <rPh sb="14" eb="16">
      <t>ケツラク</t>
    </rPh>
    <phoneticPr fontId="1"/>
  </si>
  <si>
    <t>5(フレーム8，10欠落)</t>
    <phoneticPr fontId="1"/>
  </si>
  <si>
    <t>0.370(フレーム98，99欠落)</t>
    <rPh sb="15" eb="17">
      <t>ケツラク</t>
    </rPh>
    <phoneticPr fontId="1"/>
  </si>
  <si>
    <t>9(フレーム98，99欠落)</t>
    <phoneticPr fontId="1"/>
  </si>
  <si>
    <t>予測精度：deltaなし</t>
    <rPh sb="0" eb="4">
      <t>ヨソクセイド</t>
    </rPh>
    <phoneticPr fontId="1"/>
  </si>
  <si>
    <t>7(フレーム欠落29，30)</t>
    <rPh sb="6" eb="8">
      <t>ケツラク</t>
    </rPh>
    <phoneticPr fontId="1"/>
  </si>
  <si>
    <t>8(フレーム43)</t>
    <phoneticPr fontId="1"/>
  </si>
  <si>
    <t>9（フレーム97欠落）</t>
    <rPh sb="8" eb="10">
      <t>ケツラク</t>
    </rPh>
    <phoneticPr fontId="1"/>
  </si>
  <si>
    <t>該当札なし</t>
    <rPh sb="0" eb="2">
      <t>ガイトウ</t>
    </rPh>
    <rPh sb="2" eb="3">
      <t>フダ</t>
    </rPh>
    <phoneticPr fontId="1"/>
  </si>
  <si>
    <t>8（フレーム6欠落）</t>
    <rPh sb="7" eb="9">
      <t>ケツラク</t>
    </rPh>
    <phoneticPr fontId="1"/>
  </si>
  <si>
    <t>180ms</t>
    <phoneticPr fontId="1"/>
  </si>
  <si>
    <t>200ms</t>
    <phoneticPr fontId="1"/>
  </si>
  <si>
    <t>FudaName</t>
  </si>
  <si>
    <t>TrialNumber</t>
  </si>
  <si>
    <t>Kimariji_Second1</t>
    <phoneticPr fontId="3"/>
  </si>
  <si>
    <t>Kimariji_Second2</t>
    <phoneticPr fontId="3"/>
  </si>
  <si>
    <t>Kimariji_Second3</t>
    <phoneticPr fontId="3"/>
  </si>
  <si>
    <t>average</t>
    <phoneticPr fontId="3"/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</si>
  <si>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</si>
  <si>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</si>
  <si>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</si>
  <si>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</si>
  <si>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</si>
  <si>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</si>
  <si>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</si>
  <si>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</si>
  <si>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</si>
  <si>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r>
      <rPr>
        <sz val="11"/>
        <rFont val="游ゴシック"/>
        <family val="2"/>
        <charset val="128"/>
      </rPr>
      <t>差分</t>
    </r>
    <rPh sb="0" eb="2">
      <t>サブン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</si>
</sst>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92" formatCode="0.00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/>
    <xf numFmtId="176" fontId="0" fillId="0" borderId="0" xfId="0" applyNumberFormat="1" applyAlignment="1"/>
    <xf numFmtId="19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0083-2458-4023-9306-83AD05A30CBD}">
  <dimension ref="A1:AR79"/>
  <sheetViews>
    <sheetView tabSelected="1" topLeftCell="A64" zoomScale="60" workbookViewId="0">
      <selection activeCell="H79" sqref="H79"/>
    </sheetView>
  </sheetViews>
  <sheetFormatPr defaultRowHeight="18.45" x14ac:dyDescent="0.65"/>
  <cols>
    <col min="8" max="8" width="19.5" bestFit="1" customWidth="1"/>
  </cols>
  <sheetData>
    <row r="1" spans="1:44" x14ac:dyDescent="0.65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25</v>
      </c>
      <c r="J1" t="s">
        <v>16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</v>
      </c>
      <c r="S1" t="s">
        <v>17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AB1" t="s">
        <v>24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K1" t="s">
        <v>18</v>
      </c>
      <c r="AL1" t="s">
        <v>19</v>
      </c>
      <c r="AM1" t="s">
        <v>20</v>
      </c>
      <c r="AN1" t="s">
        <v>21</v>
      </c>
      <c r="AO1" t="s">
        <v>37</v>
      </c>
      <c r="AP1" t="s">
        <v>22</v>
      </c>
      <c r="AQ1" t="s">
        <v>38</v>
      </c>
      <c r="AR1" t="s">
        <v>23</v>
      </c>
    </row>
    <row r="2" spans="1:44" x14ac:dyDescent="0.65">
      <c r="A2" t="s">
        <v>0</v>
      </c>
      <c r="B2" s="1">
        <v>0.52</v>
      </c>
      <c r="C2" s="1">
        <v>0.53</v>
      </c>
      <c r="D2" s="1">
        <v>0.54</v>
      </c>
      <c r="E2" s="1">
        <v>0.39</v>
      </c>
      <c r="F2" s="1">
        <v>0.37</v>
      </c>
      <c r="G2" s="1">
        <f>SUM(B2:F4)/15</f>
        <v>0.4926666666666667</v>
      </c>
      <c r="J2" t="s">
        <v>0</v>
      </c>
      <c r="K2">
        <v>1</v>
      </c>
      <c r="L2">
        <v>1</v>
      </c>
      <c r="M2">
        <v>1</v>
      </c>
      <c r="N2">
        <v>1</v>
      </c>
      <c r="O2">
        <v>1</v>
      </c>
      <c r="P2" s="2">
        <v>1</v>
      </c>
      <c r="S2" t="s">
        <v>0</v>
      </c>
      <c r="Y2">
        <v>100</v>
      </c>
      <c r="AB2" t="s">
        <v>0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>
        <v>0</v>
      </c>
      <c r="AK2" t="s">
        <v>0</v>
      </c>
    </row>
    <row r="3" spans="1:44" x14ac:dyDescent="0.65">
      <c r="B3" s="1">
        <v>0.52</v>
      </c>
      <c r="C3" s="1">
        <v>0.54</v>
      </c>
      <c r="D3" s="1">
        <v>0.54</v>
      </c>
      <c r="E3" s="1">
        <v>0.41</v>
      </c>
      <c r="F3" s="1">
        <v>0.52</v>
      </c>
      <c r="K3">
        <v>1</v>
      </c>
      <c r="L3">
        <v>1</v>
      </c>
      <c r="M3">
        <v>1</v>
      </c>
      <c r="N3">
        <v>1</v>
      </c>
      <c r="O3">
        <v>1</v>
      </c>
      <c r="AC3" t="s">
        <v>35</v>
      </c>
      <c r="AD3" t="s">
        <v>35</v>
      </c>
      <c r="AE3" t="s">
        <v>35</v>
      </c>
      <c r="AF3" t="s">
        <v>35</v>
      </c>
      <c r="AG3">
        <v>7</v>
      </c>
      <c r="AH3">
        <v>86.6</v>
      </c>
    </row>
    <row r="4" spans="1:44" x14ac:dyDescent="0.65">
      <c r="B4" s="1">
        <v>0.52</v>
      </c>
      <c r="C4" s="1">
        <v>0.54</v>
      </c>
      <c r="D4" s="1">
        <v>0.54</v>
      </c>
      <c r="E4" s="1">
        <v>0.38</v>
      </c>
      <c r="F4" s="1">
        <v>0.53</v>
      </c>
      <c r="K4">
        <v>1</v>
      </c>
      <c r="L4">
        <v>1</v>
      </c>
      <c r="M4">
        <v>1</v>
      </c>
      <c r="N4">
        <v>1</v>
      </c>
      <c r="O4">
        <v>1</v>
      </c>
      <c r="AC4" t="s">
        <v>35</v>
      </c>
      <c r="AD4" t="s">
        <v>35</v>
      </c>
      <c r="AE4">
        <v>7</v>
      </c>
      <c r="AF4" t="s">
        <v>35</v>
      </c>
      <c r="AG4" t="s">
        <v>35</v>
      </c>
    </row>
    <row r="5" spans="1:44" x14ac:dyDescent="0.65">
      <c r="A5" t="s">
        <v>1</v>
      </c>
      <c r="B5" s="1">
        <v>0.51</v>
      </c>
      <c r="C5" s="1">
        <v>0.45</v>
      </c>
      <c r="D5" s="1">
        <v>0.52</v>
      </c>
      <c r="E5" s="1">
        <v>0.53</v>
      </c>
      <c r="F5" s="1">
        <v>0.5</v>
      </c>
      <c r="G5" s="1">
        <f>SUM(B5:F7)/15</f>
        <v>0.50600000000000001</v>
      </c>
      <c r="J5" t="s">
        <v>1</v>
      </c>
      <c r="K5">
        <v>2</v>
      </c>
      <c r="L5">
        <v>2</v>
      </c>
      <c r="M5">
        <v>2</v>
      </c>
      <c r="N5">
        <v>2</v>
      </c>
      <c r="O5">
        <v>2</v>
      </c>
      <c r="P5" s="2">
        <v>1</v>
      </c>
      <c r="S5" t="s">
        <v>1</v>
      </c>
      <c r="Y5">
        <v>80</v>
      </c>
      <c r="AB5" t="s">
        <v>1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>
        <v>0</v>
      </c>
      <c r="AK5" t="s">
        <v>1</v>
      </c>
    </row>
    <row r="6" spans="1:44" x14ac:dyDescent="0.65">
      <c r="B6" s="1">
        <v>0.52</v>
      </c>
      <c r="C6" s="1">
        <v>0.46</v>
      </c>
      <c r="D6" s="1">
        <v>0.53</v>
      </c>
      <c r="E6" s="1">
        <v>0.53</v>
      </c>
      <c r="F6" s="1">
        <v>0.5</v>
      </c>
      <c r="K6">
        <v>2</v>
      </c>
      <c r="L6">
        <v>2</v>
      </c>
      <c r="M6">
        <v>2</v>
      </c>
      <c r="N6">
        <v>2</v>
      </c>
      <c r="O6">
        <v>2</v>
      </c>
      <c r="AC6" t="s">
        <v>35</v>
      </c>
      <c r="AD6" t="s">
        <v>35</v>
      </c>
      <c r="AE6" t="s">
        <v>35</v>
      </c>
      <c r="AF6" t="s">
        <v>35</v>
      </c>
      <c r="AG6">
        <v>8</v>
      </c>
      <c r="AH6">
        <v>93.3</v>
      </c>
    </row>
    <row r="7" spans="1:44" x14ac:dyDescent="0.65">
      <c r="B7" s="1">
        <v>0.51</v>
      </c>
      <c r="C7" s="1">
        <v>0.46</v>
      </c>
      <c r="D7" s="1">
        <v>0.53</v>
      </c>
      <c r="E7" s="1">
        <v>0.53</v>
      </c>
      <c r="F7" s="1">
        <v>0.51</v>
      </c>
      <c r="K7">
        <v>2</v>
      </c>
      <c r="L7">
        <v>2</v>
      </c>
      <c r="M7">
        <v>2</v>
      </c>
      <c r="N7">
        <v>2</v>
      </c>
      <c r="O7">
        <v>2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</row>
    <row r="8" spans="1:44" x14ac:dyDescent="0.65">
      <c r="A8" t="s">
        <v>2</v>
      </c>
      <c r="B8" s="1">
        <v>0.34</v>
      </c>
      <c r="C8" s="1">
        <v>0.32</v>
      </c>
      <c r="D8" s="1">
        <v>0.35</v>
      </c>
      <c r="E8" s="1">
        <v>0.37</v>
      </c>
      <c r="F8" s="1">
        <v>0.36</v>
      </c>
      <c r="G8" s="1">
        <f>SUM(B8:F10)/15</f>
        <v>0.34733333333333327</v>
      </c>
      <c r="J8" t="s">
        <v>2</v>
      </c>
      <c r="K8">
        <v>3</v>
      </c>
      <c r="L8">
        <v>3</v>
      </c>
      <c r="M8">
        <v>3</v>
      </c>
      <c r="N8">
        <v>3</v>
      </c>
      <c r="O8">
        <v>3</v>
      </c>
      <c r="P8" s="2">
        <v>1</v>
      </c>
      <c r="S8" t="s">
        <v>2</v>
      </c>
      <c r="Y8">
        <v>100</v>
      </c>
      <c r="AB8" t="s">
        <v>2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>
        <v>0</v>
      </c>
      <c r="AK8" t="s">
        <v>2</v>
      </c>
    </row>
    <row r="9" spans="1:44" x14ac:dyDescent="0.65">
      <c r="B9" s="1">
        <v>0.32</v>
      </c>
      <c r="C9" s="1">
        <v>0.3</v>
      </c>
      <c r="D9" s="1">
        <v>0.37</v>
      </c>
      <c r="E9" s="1">
        <v>0.34</v>
      </c>
      <c r="F9" s="1">
        <v>0.4</v>
      </c>
      <c r="K9">
        <v>3</v>
      </c>
      <c r="L9">
        <v>3</v>
      </c>
      <c r="M9">
        <v>3</v>
      </c>
      <c r="N9">
        <v>3</v>
      </c>
      <c r="O9">
        <v>3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>
        <v>100</v>
      </c>
    </row>
    <row r="10" spans="1:44" x14ac:dyDescent="0.65">
      <c r="B10" s="1">
        <v>0.32</v>
      </c>
      <c r="C10" s="1">
        <v>0.3</v>
      </c>
      <c r="D10" s="1">
        <v>0.36</v>
      </c>
      <c r="E10" s="1">
        <v>0.35</v>
      </c>
      <c r="F10" s="1">
        <v>0.41</v>
      </c>
      <c r="K10">
        <v>3</v>
      </c>
      <c r="L10">
        <v>3</v>
      </c>
      <c r="M10">
        <v>3</v>
      </c>
      <c r="N10">
        <v>3</v>
      </c>
      <c r="O10">
        <v>3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</row>
    <row r="11" spans="1:44" x14ac:dyDescent="0.65">
      <c r="A11" t="s">
        <v>3</v>
      </c>
      <c r="B11" s="1">
        <v>0.34</v>
      </c>
      <c r="C11" s="1">
        <v>0.36</v>
      </c>
      <c r="D11" s="1">
        <v>0.4</v>
      </c>
      <c r="E11" s="1">
        <v>0.38</v>
      </c>
      <c r="F11" s="1">
        <v>0.41</v>
      </c>
      <c r="G11" s="1">
        <f>SUM(B11:F13)/15</f>
        <v>0.378</v>
      </c>
      <c r="J11" t="s">
        <v>3</v>
      </c>
      <c r="K11">
        <v>4</v>
      </c>
      <c r="L11">
        <v>4</v>
      </c>
      <c r="M11">
        <v>4</v>
      </c>
      <c r="N11">
        <v>4</v>
      </c>
      <c r="O11">
        <v>4</v>
      </c>
      <c r="P11" s="2">
        <v>1</v>
      </c>
      <c r="S11" t="s">
        <v>3</v>
      </c>
      <c r="Y11">
        <v>80</v>
      </c>
      <c r="AB11" t="s">
        <v>3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>
        <v>0</v>
      </c>
      <c r="AK11" t="s">
        <v>3</v>
      </c>
    </row>
    <row r="12" spans="1:44" x14ac:dyDescent="0.65">
      <c r="B12" s="1">
        <v>0.34</v>
      </c>
      <c r="C12" s="1">
        <v>0.36</v>
      </c>
      <c r="D12" s="1">
        <v>0.4</v>
      </c>
      <c r="E12" s="1">
        <v>0.39</v>
      </c>
      <c r="F12" s="1">
        <v>0.4</v>
      </c>
      <c r="K12">
        <v>4</v>
      </c>
      <c r="L12">
        <v>4</v>
      </c>
      <c r="M12">
        <v>4</v>
      </c>
      <c r="N12">
        <v>4</v>
      </c>
      <c r="O12">
        <v>4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>
        <v>100</v>
      </c>
    </row>
    <row r="13" spans="1:44" x14ac:dyDescent="0.65">
      <c r="B13" s="1">
        <v>0.34</v>
      </c>
      <c r="C13" s="1">
        <v>0.35</v>
      </c>
      <c r="D13" s="1">
        <v>0.4</v>
      </c>
      <c r="E13" s="1">
        <v>0.39</v>
      </c>
      <c r="F13" s="1">
        <v>0.41</v>
      </c>
      <c r="K13">
        <v>4</v>
      </c>
      <c r="L13">
        <v>4</v>
      </c>
      <c r="M13">
        <v>4</v>
      </c>
      <c r="N13">
        <v>4</v>
      </c>
      <c r="O13">
        <v>4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</row>
    <row r="14" spans="1:44" x14ac:dyDescent="0.65">
      <c r="A14" t="s">
        <v>4</v>
      </c>
      <c r="B14" s="1">
        <v>0.38</v>
      </c>
      <c r="C14" s="1">
        <v>0.37</v>
      </c>
      <c r="D14" s="1">
        <v>0.38</v>
      </c>
      <c r="E14" s="1">
        <v>0.39</v>
      </c>
      <c r="F14" s="1" t="s">
        <v>27</v>
      </c>
      <c r="G14" s="1">
        <f>SUM(B14:F16)/15</f>
        <v>0.35733333333333328</v>
      </c>
      <c r="J14" t="s">
        <v>4</v>
      </c>
      <c r="K14">
        <v>5</v>
      </c>
      <c r="L14">
        <v>5</v>
      </c>
      <c r="M14">
        <v>5</v>
      </c>
      <c r="N14">
        <v>5</v>
      </c>
      <c r="O14" t="s">
        <v>28</v>
      </c>
      <c r="P14" s="2">
        <v>1</v>
      </c>
      <c r="S14" t="s">
        <v>4</v>
      </c>
      <c r="Y14">
        <v>100</v>
      </c>
      <c r="AB14" t="s">
        <v>4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>
        <v>0</v>
      </c>
      <c r="AK14" t="s">
        <v>4</v>
      </c>
    </row>
    <row r="15" spans="1:44" x14ac:dyDescent="0.65">
      <c r="B15" s="1">
        <v>0.38</v>
      </c>
      <c r="C15" s="1">
        <v>0.38</v>
      </c>
      <c r="D15" s="1">
        <v>0.38</v>
      </c>
      <c r="E15" s="1">
        <v>0.39</v>
      </c>
      <c r="F15" s="1">
        <v>0.39</v>
      </c>
      <c r="K15">
        <v>5</v>
      </c>
      <c r="L15">
        <v>5</v>
      </c>
      <c r="M15">
        <v>5</v>
      </c>
      <c r="N15">
        <v>5</v>
      </c>
      <c r="O15">
        <v>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>
        <v>100</v>
      </c>
    </row>
    <row r="16" spans="1:44" x14ac:dyDescent="0.65">
      <c r="B16" s="1">
        <v>0.38</v>
      </c>
      <c r="C16" s="1">
        <v>0.38</v>
      </c>
      <c r="D16" s="1">
        <v>0.38</v>
      </c>
      <c r="E16" s="1">
        <v>0.39</v>
      </c>
      <c r="F16" s="1">
        <v>0.39</v>
      </c>
      <c r="K16">
        <v>5</v>
      </c>
      <c r="L16">
        <v>5</v>
      </c>
      <c r="M16">
        <v>5</v>
      </c>
      <c r="N16">
        <v>5</v>
      </c>
      <c r="O16">
        <v>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</row>
    <row r="17" spans="1:37" x14ac:dyDescent="0.65">
      <c r="A17" t="s">
        <v>5</v>
      </c>
      <c r="B17" s="1">
        <v>0.5</v>
      </c>
      <c r="C17" s="1">
        <v>0.5</v>
      </c>
      <c r="D17" s="1">
        <v>0.53</v>
      </c>
      <c r="E17" s="1">
        <v>0.52</v>
      </c>
      <c r="F17" s="1">
        <v>0.52</v>
      </c>
      <c r="G17" s="1">
        <f>SUM(B17:F19)/15</f>
        <v>0.51333333333333331</v>
      </c>
      <c r="J17" t="s">
        <v>5</v>
      </c>
      <c r="K17">
        <v>6</v>
      </c>
      <c r="L17">
        <v>6</v>
      </c>
      <c r="M17">
        <v>6</v>
      </c>
      <c r="N17">
        <v>6</v>
      </c>
      <c r="O17">
        <v>6</v>
      </c>
      <c r="P17" s="2">
        <v>1</v>
      </c>
      <c r="S17" t="s">
        <v>5</v>
      </c>
      <c r="Y17">
        <v>100</v>
      </c>
      <c r="AB17" t="s">
        <v>5</v>
      </c>
      <c r="AC17" t="s">
        <v>35</v>
      </c>
      <c r="AD17" t="s">
        <v>35</v>
      </c>
      <c r="AE17" t="s">
        <v>35</v>
      </c>
      <c r="AF17" t="s">
        <v>35</v>
      </c>
      <c r="AG17">
        <v>7</v>
      </c>
      <c r="AH17">
        <v>0</v>
      </c>
      <c r="AK17" t="s">
        <v>5</v>
      </c>
    </row>
    <row r="18" spans="1:37" x14ac:dyDescent="0.65">
      <c r="B18" s="1">
        <v>0.49</v>
      </c>
      <c r="C18" s="1">
        <v>0.51</v>
      </c>
      <c r="D18" s="1">
        <v>0.53</v>
      </c>
      <c r="E18" s="1">
        <v>0.52</v>
      </c>
      <c r="F18" s="1">
        <v>0.52</v>
      </c>
      <c r="K18">
        <v>6</v>
      </c>
      <c r="L18">
        <v>6</v>
      </c>
      <c r="M18">
        <v>6</v>
      </c>
      <c r="N18">
        <v>6</v>
      </c>
      <c r="O18">
        <v>6</v>
      </c>
      <c r="AC18" t="s">
        <v>35</v>
      </c>
      <c r="AD18" t="s">
        <v>35</v>
      </c>
      <c r="AE18" t="s">
        <v>35</v>
      </c>
      <c r="AF18">
        <v>7</v>
      </c>
      <c r="AG18" t="s">
        <v>35</v>
      </c>
      <c r="AH18">
        <v>80</v>
      </c>
    </row>
    <row r="19" spans="1:37" x14ac:dyDescent="0.65">
      <c r="B19" s="1">
        <v>0.49</v>
      </c>
      <c r="C19" s="1">
        <v>0.51</v>
      </c>
      <c r="D19" s="1">
        <v>0.53</v>
      </c>
      <c r="E19" s="1">
        <v>0.52</v>
      </c>
      <c r="F19" s="1">
        <v>0.51</v>
      </c>
      <c r="K19">
        <v>6</v>
      </c>
      <c r="L19">
        <v>6</v>
      </c>
      <c r="M19">
        <v>6</v>
      </c>
      <c r="N19">
        <v>6</v>
      </c>
      <c r="O19">
        <v>6</v>
      </c>
      <c r="AC19" t="s">
        <v>35</v>
      </c>
      <c r="AD19" t="s">
        <v>35</v>
      </c>
      <c r="AE19" t="s">
        <v>35</v>
      </c>
      <c r="AF19" t="s">
        <v>35</v>
      </c>
      <c r="AG19">
        <v>8</v>
      </c>
    </row>
    <row r="20" spans="1:37" x14ac:dyDescent="0.65">
      <c r="A20" t="s">
        <v>6</v>
      </c>
      <c r="B20" s="1">
        <v>0.45</v>
      </c>
      <c r="C20" s="1">
        <v>0.47</v>
      </c>
      <c r="D20" s="1">
        <v>0.52</v>
      </c>
      <c r="E20" s="1">
        <v>0.48</v>
      </c>
      <c r="F20" s="1">
        <v>0.52</v>
      </c>
      <c r="G20" s="1">
        <f>SUM(B20:F22)/15</f>
        <v>0.48733333333333334</v>
      </c>
      <c r="J20" t="s">
        <v>6</v>
      </c>
      <c r="K20">
        <v>7</v>
      </c>
      <c r="L20">
        <v>7</v>
      </c>
      <c r="M20">
        <v>7</v>
      </c>
      <c r="N20">
        <v>7</v>
      </c>
      <c r="O20">
        <v>7</v>
      </c>
      <c r="P20" s="2">
        <v>1</v>
      </c>
      <c r="S20" t="s">
        <v>6</v>
      </c>
      <c r="Y20">
        <v>100</v>
      </c>
      <c r="AB20" t="s">
        <v>6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>
        <v>0</v>
      </c>
      <c r="AK20" t="s">
        <v>6</v>
      </c>
    </row>
    <row r="21" spans="1:37" x14ac:dyDescent="0.65">
      <c r="B21" s="1">
        <v>0.44</v>
      </c>
      <c r="C21" s="1">
        <v>0.48</v>
      </c>
      <c r="D21" s="1">
        <v>0.51</v>
      </c>
      <c r="E21" s="1">
        <v>0.49</v>
      </c>
      <c r="F21" s="1">
        <v>0.51</v>
      </c>
      <c r="K21">
        <v>7</v>
      </c>
      <c r="L21">
        <v>7</v>
      </c>
      <c r="M21">
        <v>7</v>
      </c>
      <c r="N21">
        <v>7</v>
      </c>
      <c r="O21">
        <v>7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>
        <v>100</v>
      </c>
    </row>
    <row r="22" spans="1:37" x14ac:dyDescent="0.65">
      <c r="B22" s="1">
        <v>0.45</v>
      </c>
      <c r="C22" s="1">
        <v>0.48</v>
      </c>
      <c r="D22" s="1">
        <v>0.51</v>
      </c>
      <c r="E22" s="1">
        <v>0.49</v>
      </c>
      <c r="F22" s="1">
        <v>0.51</v>
      </c>
      <c r="K22">
        <v>7</v>
      </c>
      <c r="L22">
        <v>7</v>
      </c>
      <c r="M22">
        <v>7</v>
      </c>
      <c r="N22">
        <v>7</v>
      </c>
      <c r="O22">
        <v>7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</row>
    <row r="23" spans="1:37" x14ac:dyDescent="0.65">
      <c r="A23" t="s">
        <v>7</v>
      </c>
      <c r="B23" s="1">
        <v>0.57999999999999996</v>
      </c>
      <c r="C23" s="1">
        <v>0.57999999999999996</v>
      </c>
      <c r="D23" s="1">
        <v>0.55000000000000004</v>
      </c>
      <c r="E23" s="1">
        <v>0.49</v>
      </c>
      <c r="F23" s="1">
        <v>0.47</v>
      </c>
      <c r="G23" s="1">
        <f>SUM(B23:F25)/15</f>
        <v>0.52933333333333332</v>
      </c>
      <c r="J23" t="s">
        <v>7</v>
      </c>
      <c r="K23">
        <v>8</v>
      </c>
      <c r="L23">
        <v>8</v>
      </c>
      <c r="M23">
        <v>8</v>
      </c>
      <c r="N23">
        <v>8</v>
      </c>
      <c r="O23">
        <v>8</v>
      </c>
      <c r="P23" s="2">
        <v>1</v>
      </c>
      <c r="S23" t="s">
        <v>7</v>
      </c>
      <c r="Y23">
        <v>100</v>
      </c>
      <c r="AB23" t="s">
        <v>7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>
        <v>0</v>
      </c>
      <c r="AK23" t="s">
        <v>7</v>
      </c>
    </row>
    <row r="24" spans="1:37" x14ac:dyDescent="0.65">
      <c r="B24" s="1">
        <v>0.57999999999999996</v>
      </c>
      <c r="C24" s="1">
        <v>0.59</v>
      </c>
      <c r="D24" s="1">
        <v>0.49</v>
      </c>
      <c r="E24" s="1">
        <v>0.49</v>
      </c>
      <c r="F24" s="1">
        <v>0.47</v>
      </c>
      <c r="K24">
        <v>8</v>
      </c>
      <c r="L24">
        <v>8</v>
      </c>
      <c r="M24">
        <v>8</v>
      </c>
      <c r="N24">
        <v>8</v>
      </c>
      <c r="O24">
        <v>8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>
        <v>100</v>
      </c>
    </row>
    <row r="25" spans="1:37" x14ac:dyDescent="0.65">
      <c r="B25" s="1">
        <v>0.56999999999999995</v>
      </c>
      <c r="C25" s="1">
        <v>0.59</v>
      </c>
      <c r="D25" s="1">
        <v>0.54</v>
      </c>
      <c r="E25" s="1">
        <v>0.48</v>
      </c>
      <c r="F25" s="1">
        <v>0.47</v>
      </c>
      <c r="K25">
        <v>8</v>
      </c>
      <c r="L25">
        <v>8</v>
      </c>
      <c r="M25">
        <v>8</v>
      </c>
      <c r="N25">
        <v>8</v>
      </c>
      <c r="O25">
        <v>8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</row>
    <row r="26" spans="1:37" x14ac:dyDescent="0.65">
      <c r="A26" t="s">
        <v>8</v>
      </c>
      <c r="B26" s="1">
        <v>0.37</v>
      </c>
      <c r="C26" s="1">
        <v>0.38</v>
      </c>
      <c r="D26" s="1">
        <v>0.42</v>
      </c>
      <c r="E26" s="1">
        <v>0.43</v>
      </c>
      <c r="F26" s="1">
        <v>0.44</v>
      </c>
      <c r="G26" s="1">
        <f>SUM(B26:F28)/15</f>
        <v>0.38533333333333336</v>
      </c>
      <c r="J26" t="s">
        <v>8</v>
      </c>
      <c r="K26">
        <v>9</v>
      </c>
      <c r="L26">
        <v>9</v>
      </c>
      <c r="M26">
        <v>9</v>
      </c>
      <c r="N26">
        <v>9</v>
      </c>
      <c r="O26">
        <v>9</v>
      </c>
      <c r="P26" s="2">
        <v>1</v>
      </c>
      <c r="S26" t="s">
        <v>8</v>
      </c>
      <c r="Y26">
        <v>100</v>
      </c>
      <c r="AB26" t="s">
        <v>8</v>
      </c>
      <c r="AC26" t="s">
        <v>35</v>
      </c>
      <c r="AD26" t="s">
        <v>35</v>
      </c>
      <c r="AE26" t="s">
        <v>35</v>
      </c>
      <c r="AF26" t="s">
        <v>35</v>
      </c>
      <c r="AG26" t="s">
        <v>36</v>
      </c>
      <c r="AH26">
        <v>0</v>
      </c>
      <c r="AK26" t="s">
        <v>8</v>
      </c>
    </row>
    <row r="27" spans="1:37" x14ac:dyDescent="0.65">
      <c r="B27" s="1">
        <v>0.37</v>
      </c>
      <c r="C27" s="1">
        <v>0.39</v>
      </c>
      <c r="D27" s="1">
        <v>0.43</v>
      </c>
      <c r="E27" s="1">
        <v>0.44</v>
      </c>
      <c r="F27" s="1">
        <v>0.44</v>
      </c>
      <c r="K27">
        <v>9</v>
      </c>
      <c r="L27">
        <v>9</v>
      </c>
      <c r="M27">
        <v>9</v>
      </c>
      <c r="N27">
        <v>9</v>
      </c>
      <c r="O27">
        <v>9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>
        <v>93.3</v>
      </c>
    </row>
    <row r="28" spans="1:37" x14ac:dyDescent="0.65">
      <c r="B28" t="s">
        <v>29</v>
      </c>
      <c r="C28" s="1">
        <v>0.38</v>
      </c>
      <c r="D28" s="1">
        <v>0.42</v>
      </c>
      <c r="E28" s="1">
        <v>0.43</v>
      </c>
      <c r="F28" s="1">
        <v>0.44</v>
      </c>
      <c r="K28" t="s">
        <v>30</v>
      </c>
      <c r="L28">
        <v>9</v>
      </c>
      <c r="M28">
        <v>9</v>
      </c>
      <c r="N28">
        <v>9</v>
      </c>
      <c r="O28">
        <v>9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</row>
    <row r="29" spans="1:37" x14ac:dyDescent="0.65">
      <c r="G29">
        <f>SUM(G2:G28)/9</f>
        <v>0.44407407407407407</v>
      </c>
      <c r="AH29">
        <f>SUM(AH2:AH28)/9</f>
        <v>94.8</v>
      </c>
    </row>
    <row r="32" spans="1:37" x14ac:dyDescent="0.65">
      <c r="A32" t="s">
        <v>15</v>
      </c>
      <c r="J32" t="s">
        <v>31</v>
      </c>
      <c r="K32" t="s">
        <v>9</v>
      </c>
      <c r="L32" t="s">
        <v>10</v>
      </c>
      <c r="M32" t="s">
        <v>11</v>
      </c>
      <c r="N32" t="s">
        <v>12</v>
      </c>
      <c r="O32" t="s">
        <v>13</v>
      </c>
    </row>
    <row r="33" spans="1:16" x14ac:dyDescent="0.65">
      <c r="A33" s="3" t="s">
        <v>39</v>
      </c>
      <c r="B33" s="3" t="s">
        <v>40</v>
      </c>
      <c r="C33" s="4" t="s">
        <v>41</v>
      </c>
      <c r="D33" s="4" t="s">
        <v>42</v>
      </c>
      <c r="E33" s="4" t="s">
        <v>43</v>
      </c>
      <c r="F33" s="3"/>
      <c r="G33" s="4" t="s">
        <v>44</v>
      </c>
      <c r="H33" s="4" t="s">
        <v>54</v>
      </c>
      <c r="J33" t="s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100</v>
      </c>
    </row>
    <row r="34" spans="1:16" x14ac:dyDescent="0.65">
      <c r="A34" s="3" t="s">
        <v>45</v>
      </c>
      <c r="B34" s="3">
        <v>1</v>
      </c>
      <c r="C34" s="3">
        <v>0.61</v>
      </c>
      <c r="D34" s="3">
        <v>0.61</v>
      </c>
      <c r="E34" s="3">
        <v>0.61</v>
      </c>
      <c r="F34" s="3"/>
      <c r="G34" s="3">
        <f>SUM(C34:E38)/15</f>
        <v>0.60200000000000009</v>
      </c>
      <c r="H34" s="6">
        <f>G2-G34</f>
        <v>-0.10933333333333339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6" x14ac:dyDescent="0.65">
      <c r="A35" s="3" t="s">
        <v>45</v>
      </c>
      <c r="B35" s="3">
        <v>2</v>
      </c>
      <c r="C35" s="3">
        <v>0.61</v>
      </c>
      <c r="D35" s="3">
        <v>0.61</v>
      </c>
      <c r="E35" s="3">
        <v>0.61</v>
      </c>
      <c r="F35" s="3"/>
      <c r="G35" s="3"/>
      <c r="K35">
        <v>1</v>
      </c>
      <c r="L35">
        <v>1</v>
      </c>
      <c r="M35">
        <v>1</v>
      </c>
      <c r="N35">
        <v>1</v>
      </c>
      <c r="O35">
        <v>1</v>
      </c>
    </row>
    <row r="36" spans="1:16" x14ac:dyDescent="0.65">
      <c r="A36" s="3" t="s">
        <v>45</v>
      </c>
      <c r="B36" s="3">
        <v>3</v>
      </c>
      <c r="C36" s="3">
        <v>0.62</v>
      </c>
      <c r="D36" s="3">
        <v>0.62</v>
      </c>
      <c r="E36" s="3">
        <v>0.62</v>
      </c>
      <c r="F36" s="3"/>
      <c r="G36" s="3"/>
      <c r="J36" t="s">
        <v>1</v>
      </c>
      <c r="K36">
        <v>1</v>
      </c>
      <c r="L36">
        <v>2</v>
      </c>
      <c r="M36">
        <v>1</v>
      </c>
      <c r="N36">
        <v>1</v>
      </c>
      <c r="O36">
        <v>1</v>
      </c>
      <c r="P36">
        <v>20</v>
      </c>
    </row>
    <row r="37" spans="1:16" x14ac:dyDescent="0.65">
      <c r="A37" s="3" t="s">
        <v>45</v>
      </c>
      <c r="B37" s="3">
        <v>4</v>
      </c>
      <c r="C37" s="3">
        <v>0.56000000000000005</v>
      </c>
      <c r="D37" s="3">
        <v>0.56000000000000005</v>
      </c>
      <c r="E37" s="3">
        <v>0.56000000000000005</v>
      </c>
      <c r="F37" s="3"/>
      <c r="G37" s="3"/>
      <c r="K37">
        <v>1</v>
      </c>
      <c r="L37">
        <v>2</v>
      </c>
      <c r="M37">
        <v>1</v>
      </c>
      <c r="N37">
        <v>1</v>
      </c>
      <c r="O37">
        <v>1</v>
      </c>
    </row>
    <row r="38" spans="1:16" x14ac:dyDescent="0.65">
      <c r="A38" s="3" t="s">
        <v>45</v>
      </c>
      <c r="B38" s="3">
        <v>5</v>
      </c>
      <c r="C38" s="3">
        <v>0.61</v>
      </c>
      <c r="D38" s="3">
        <v>0.61</v>
      </c>
      <c r="E38" s="3">
        <v>0.61</v>
      </c>
      <c r="F38" s="3"/>
      <c r="G38" s="3"/>
      <c r="K38">
        <v>1</v>
      </c>
      <c r="L38">
        <v>2</v>
      </c>
      <c r="M38">
        <v>1</v>
      </c>
      <c r="N38">
        <v>1</v>
      </c>
      <c r="O38">
        <v>1</v>
      </c>
    </row>
    <row r="39" spans="1:16" x14ac:dyDescent="0.65">
      <c r="A39" s="3" t="s">
        <v>46</v>
      </c>
      <c r="B39" s="3">
        <v>1</v>
      </c>
      <c r="C39" s="3">
        <v>0.53</v>
      </c>
      <c r="D39" s="3">
        <v>0.53</v>
      </c>
      <c r="E39" s="3">
        <v>0.53</v>
      </c>
      <c r="F39" s="3"/>
      <c r="G39" s="5">
        <f>SUM(C39:E43)/15</f>
        <v>0.55000000000000004</v>
      </c>
      <c r="H39" s="6">
        <f>G5-G39</f>
        <v>-4.4000000000000039E-2</v>
      </c>
      <c r="J39" t="s">
        <v>2</v>
      </c>
      <c r="K39">
        <v>3</v>
      </c>
      <c r="L39">
        <v>3</v>
      </c>
      <c r="M39">
        <v>3</v>
      </c>
      <c r="N39">
        <v>3</v>
      </c>
      <c r="O39">
        <v>3</v>
      </c>
      <c r="P39">
        <v>100</v>
      </c>
    </row>
    <row r="40" spans="1:16" x14ac:dyDescent="0.65">
      <c r="A40" s="3" t="s">
        <v>46</v>
      </c>
      <c r="B40" s="3">
        <v>2</v>
      </c>
      <c r="C40" s="3">
        <v>0.52</v>
      </c>
      <c r="D40" s="3">
        <v>0.52</v>
      </c>
      <c r="E40" s="3">
        <v>0.52</v>
      </c>
      <c r="F40" s="3"/>
      <c r="G40" s="3"/>
      <c r="K40">
        <v>3</v>
      </c>
      <c r="L40">
        <v>3</v>
      </c>
      <c r="M40">
        <v>3</v>
      </c>
      <c r="N40">
        <v>3</v>
      </c>
      <c r="O40">
        <v>3</v>
      </c>
    </row>
    <row r="41" spans="1:16" x14ac:dyDescent="0.65">
      <c r="A41" s="3" t="s">
        <v>46</v>
      </c>
      <c r="B41" s="3">
        <v>3</v>
      </c>
      <c r="C41" s="3">
        <v>0.59000000000000008</v>
      </c>
      <c r="D41" s="3">
        <v>0.59000000000000008</v>
      </c>
      <c r="E41" s="3">
        <v>0.59000000000000008</v>
      </c>
      <c r="F41" s="3"/>
      <c r="G41" s="3"/>
      <c r="K41">
        <v>3</v>
      </c>
      <c r="L41">
        <v>3</v>
      </c>
      <c r="M41">
        <v>3</v>
      </c>
      <c r="N41">
        <v>3</v>
      </c>
      <c r="O41">
        <v>3</v>
      </c>
    </row>
    <row r="42" spans="1:16" x14ac:dyDescent="0.65">
      <c r="A42" s="3" t="s">
        <v>46</v>
      </c>
      <c r="B42" s="3">
        <v>4</v>
      </c>
      <c r="C42" s="3">
        <v>0.58000000000000007</v>
      </c>
      <c r="D42" s="3">
        <v>0.58000000000000007</v>
      </c>
      <c r="E42" s="3">
        <v>0.58000000000000007</v>
      </c>
      <c r="F42" s="3"/>
      <c r="G42" s="3"/>
      <c r="J42" t="s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0</v>
      </c>
    </row>
    <row r="43" spans="1:16" x14ac:dyDescent="0.65">
      <c r="A43" s="3" t="s">
        <v>46</v>
      </c>
      <c r="B43" s="3">
        <v>5</v>
      </c>
      <c r="C43" s="3">
        <v>0.53</v>
      </c>
      <c r="D43" s="3">
        <v>0.53</v>
      </c>
      <c r="E43" s="3">
        <v>0.53</v>
      </c>
      <c r="F43" s="3"/>
      <c r="G43" s="3"/>
      <c r="K43">
        <v>3</v>
      </c>
      <c r="L43">
        <v>3</v>
      </c>
      <c r="M43">
        <v>3</v>
      </c>
      <c r="N43">
        <v>3</v>
      </c>
      <c r="O43">
        <v>3</v>
      </c>
    </row>
    <row r="44" spans="1:16" x14ac:dyDescent="0.65">
      <c r="A44" s="3" t="s">
        <v>47</v>
      </c>
      <c r="B44" s="3">
        <v>1</v>
      </c>
      <c r="C44" s="3">
        <v>0.39</v>
      </c>
      <c r="D44" s="3">
        <v>0.39</v>
      </c>
      <c r="E44" s="3">
        <v>0.39</v>
      </c>
      <c r="F44" s="3"/>
      <c r="G44" s="5">
        <f>SUM(C44:E48)/15</f>
        <v>0.40000000000000013</v>
      </c>
      <c r="H44" s="6">
        <f>G8-G44</f>
        <v>-5.2666666666666861E-2</v>
      </c>
      <c r="K44">
        <v>3</v>
      </c>
      <c r="L44">
        <v>3</v>
      </c>
      <c r="M44">
        <v>3</v>
      </c>
      <c r="N44">
        <v>3</v>
      </c>
      <c r="O44">
        <v>3</v>
      </c>
    </row>
    <row r="45" spans="1:16" x14ac:dyDescent="0.65">
      <c r="A45" s="3" t="s">
        <v>47</v>
      </c>
      <c r="B45" s="3">
        <v>2</v>
      </c>
      <c r="C45" s="3">
        <v>0.39</v>
      </c>
      <c r="D45" s="3">
        <v>0.39</v>
      </c>
      <c r="E45" s="3">
        <v>0.39</v>
      </c>
      <c r="F45" s="3"/>
      <c r="G45" s="3"/>
      <c r="J45" t="s">
        <v>4</v>
      </c>
      <c r="K45">
        <v>3</v>
      </c>
      <c r="L45">
        <v>5</v>
      </c>
      <c r="M45">
        <v>5</v>
      </c>
      <c r="N45">
        <v>3</v>
      </c>
      <c r="O45">
        <v>3</v>
      </c>
      <c r="P45">
        <v>33.299999999999997</v>
      </c>
    </row>
    <row r="46" spans="1:16" x14ac:dyDescent="0.65">
      <c r="A46" s="3" t="s">
        <v>47</v>
      </c>
      <c r="B46" s="3">
        <v>3</v>
      </c>
      <c r="C46" s="3">
        <v>0.42000000000000004</v>
      </c>
      <c r="D46" s="3">
        <v>0.42000000000000004</v>
      </c>
      <c r="E46" s="3">
        <v>0.42000000000000004</v>
      </c>
      <c r="F46" s="3"/>
      <c r="G46" s="3"/>
      <c r="K46">
        <v>3</v>
      </c>
      <c r="L46">
        <v>3</v>
      </c>
      <c r="M46">
        <v>5</v>
      </c>
      <c r="N46">
        <v>3</v>
      </c>
      <c r="O46">
        <v>3</v>
      </c>
    </row>
    <row r="47" spans="1:16" x14ac:dyDescent="0.65">
      <c r="A47" s="3" t="s">
        <v>47</v>
      </c>
      <c r="B47" s="3">
        <v>4</v>
      </c>
      <c r="C47" s="3">
        <v>0.4</v>
      </c>
      <c r="D47" s="3">
        <v>0.4</v>
      </c>
      <c r="E47" s="3">
        <v>0.4</v>
      </c>
      <c r="F47" s="3"/>
      <c r="G47" s="3"/>
      <c r="K47">
        <v>3</v>
      </c>
      <c r="L47">
        <v>5</v>
      </c>
      <c r="M47">
        <v>5</v>
      </c>
      <c r="N47">
        <v>3</v>
      </c>
      <c r="O47">
        <v>3</v>
      </c>
    </row>
    <row r="48" spans="1:16" x14ac:dyDescent="0.65">
      <c r="A48" s="3" t="s">
        <v>47</v>
      </c>
      <c r="B48" s="3">
        <v>5</v>
      </c>
      <c r="C48" s="3">
        <v>0.4</v>
      </c>
      <c r="D48" s="3">
        <v>0.4</v>
      </c>
      <c r="E48" s="3">
        <v>0.4</v>
      </c>
      <c r="F48" s="3"/>
      <c r="G48" s="3"/>
      <c r="J48" t="s">
        <v>5</v>
      </c>
      <c r="K48">
        <v>7</v>
      </c>
      <c r="L48">
        <v>7</v>
      </c>
      <c r="M48">
        <v>7</v>
      </c>
      <c r="N48">
        <v>7</v>
      </c>
      <c r="O48">
        <v>7</v>
      </c>
      <c r="P48">
        <v>0</v>
      </c>
    </row>
    <row r="49" spans="1:16" x14ac:dyDescent="0.65">
      <c r="A49" s="3" t="s">
        <v>48</v>
      </c>
      <c r="B49" s="3">
        <v>1</v>
      </c>
      <c r="C49" s="3">
        <v>0.42000000000000004</v>
      </c>
      <c r="D49" s="3">
        <v>0.42000000000000004</v>
      </c>
      <c r="E49" s="3">
        <v>0.42000000000000004</v>
      </c>
      <c r="F49" s="3"/>
      <c r="G49" s="3">
        <f>SUM(C49:E53)/15</f>
        <v>0.41800000000000009</v>
      </c>
      <c r="H49" s="6">
        <f>G11-G49</f>
        <v>-4.0000000000000091E-2</v>
      </c>
      <c r="K49">
        <v>7</v>
      </c>
      <c r="L49">
        <v>7</v>
      </c>
      <c r="M49">
        <v>7</v>
      </c>
      <c r="N49">
        <v>7</v>
      </c>
      <c r="O49">
        <v>7</v>
      </c>
    </row>
    <row r="50" spans="1:16" x14ac:dyDescent="0.65">
      <c r="A50" s="3" t="s">
        <v>48</v>
      </c>
      <c r="B50" s="3">
        <v>2</v>
      </c>
      <c r="C50" s="3">
        <v>0.43000000000000005</v>
      </c>
      <c r="D50" s="3">
        <v>0.43000000000000005</v>
      </c>
      <c r="E50" s="3">
        <v>0.43000000000000005</v>
      </c>
      <c r="F50" s="3"/>
      <c r="G50" s="3"/>
      <c r="K50">
        <v>7</v>
      </c>
      <c r="L50">
        <v>7</v>
      </c>
      <c r="M50">
        <v>7</v>
      </c>
      <c r="N50">
        <v>7</v>
      </c>
      <c r="O50">
        <v>7</v>
      </c>
    </row>
    <row r="51" spans="1:16" x14ac:dyDescent="0.65">
      <c r="A51" s="3" t="s">
        <v>48</v>
      </c>
      <c r="B51" s="3">
        <v>3</v>
      </c>
      <c r="C51" s="3">
        <v>0.45999999999999996</v>
      </c>
      <c r="D51" s="3">
        <v>0.45999999999999996</v>
      </c>
      <c r="E51" s="3">
        <v>0.45999999999999996</v>
      </c>
      <c r="F51" s="3"/>
      <c r="G51" s="3"/>
      <c r="J51" t="s">
        <v>6</v>
      </c>
      <c r="K51">
        <v>6</v>
      </c>
      <c r="L51" t="s">
        <v>32</v>
      </c>
      <c r="M51">
        <v>7</v>
      </c>
      <c r="N51">
        <v>7</v>
      </c>
      <c r="O51">
        <v>7</v>
      </c>
      <c r="P51">
        <v>93.3</v>
      </c>
    </row>
    <row r="52" spans="1:16" x14ac:dyDescent="0.65">
      <c r="A52" s="3" t="s">
        <v>48</v>
      </c>
      <c r="B52" s="3">
        <v>4</v>
      </c>
      <c r="C52" s="3">
        <v>0.29000000000000004</v>
      </c>
      <c r="D52" s="3">
        <v>0.29000000000000004</v>
      </c>
      <c r="E52" s="3">
        <v>0.29000000000000004</v>
      </c>
      <c r="F52" s="3"/>
      <c r="G52" s="3"/>
      <c r="K52">
        <v>7</v>
      </c>
      <c r="L52">
        <v>7</v>
      </c>
      <c r="M52">
        <v>7</v>
      </c>
      <c r="N52">
        <v>7</v>
      </c>
      <c r="O52">
        <v>7</v>
      </c>
    </row>
    <row r="53" spans="1:16" x14ac:dyDescent="0.65">
      <c r="A53" s="3" t="s">
        <v>48</v>
      </c>
      <c r="B53" s="3">
        <v>5</v>
      </c>
      <c r="C53" s="3">
        <v>0.49</v>
      </c>
      <c r="D53" s="3">
        <v>0.49</v>
      </c>
      <c r="E53" s="3">
        <v>0.49</v>
      </c>
      <c r="F53" s="3"/>
      <c r="G53" s="3"/>
      <c r="K53">
        <v>7</v>
      </c>
      <c r="L53">
        <v>7</v>
      </c>
      <c r="M53">
        <v>7</v>
      </c>
      <c r="N53">
        <v>7</v>
      </c>
      <c r="O53">
        <v>7</v>
      </c>
    </row>
    <row r="54" spans="1:16" x14ac:dyDescent="0.65">
      <c r="A54" s="3" t="s">
        <v>49</v>
      </c>
      <c r="B54" s="3">
        <v>1</v>
      </c>
      <c r="C54" s="3">
        <v>0.44999999999999996</v>
      </c>
      <c r="D54" s="3">
        <v>0.44999999999999996</v>
      </c>
      <c r="E54" s="3">
        <v>0.44999999999999996</v>
      </c>
      <c r="F54" s="3"/>
      <c r="G54" s="3">
        <f>SUM(C54:E58)/15</f>
        <v>0.4519999999999999</v>
      </c>
      <c r="H54" s="6">
        <f>G14-G54</f>
        <v>-9.4666666666666621E-2</v>
      </c>
      <c r="J54" t="s">
        <v>7</v>
      </c>
      <c r="K54">
        <v>9</v>
      </c>
      <c r="L54">
        <v>9</v>
      </c>
      <c r="M54" t="s">
        <v>33</v>
      </c>
      <c r="N54">
        <v>8</v>
      </c>
      <c r="O54">
        <v>8</v>
      </c>
      <c r="P54">
        <v>60</v>
      </c>
    </row>
    <row r="55" spans="1:16" x14ac:dyDescent="0.65">
      <c r="A55" s="3" t="s">
        <v>49</v>
      </c>
      <c r="B55" s="3">
        <v>2</v>
      </c>
      <c r="C55" s="3">
        <v>0.44000000000000006</v>
      </c>
      <c r="D55" s="3">
        <v>0.44000000000000006</v>
      </c>
      <c r="E55" s="3">
        <v>0.44000000000000006</v>
      </c>
      <c r="F55" s="3"/>
      <c r="G55" s="3"/>
      <c r="K55">
        <v>9</v>
      </c>
      <c r="L55">
        <v>9</v>
      </c>
      <c r="M55">
        <v>8</v>
      </c>
      <c r="N55">
        <v>8</v>
      </c>
      <c r="O55">
        <v>8</v>
      </c>
    </row>
    <row r="56" spans="1:16" x14ac:dyDescent="0.65">
      <c r="A56" s="3" t="s">
        <v>49</v>
      </c>
      <c r="B56" s="3">
        <v>3</v>
      </c>
      <c r="C56" s="3">
        <v>0.44000000000000006</v>
      </c>
      <c r="D56" s="3">
        <v>0.44000000000000006</v>
      </c>
      <c r="E56" s="3">
        <v>0.44000000000000006</v>
      </c>
      <c r="F56" s="3"/>
      <c r="G56" s="3"/>
      <c r="K56">
        <v>9</v>
      </c>
      <c r="L56">
        <v>9</v>
      </c>
      <c r="M56">
        <v>8</v>
      </c>
      <c r="N56">
        <v>8</v>
      </c>
      <c r="O56">
        <v>8</v>
      </c>
    </row>
    <row r="57" spans="1:16" x14ac:dyDescent="0.65">
      <c r="A57" s="3" t="s">
        <v>49</v>
      </c>
      <c r="B57" s="3">
        <v>4</v>
      </c>
      <c r="C57" s="3">
        <v>0.45999999999999996</v>
      </c>
      <c r="D57" s="3">
        <v>0.45999999999999996</v>
      </c>
      <c r="E57" s="3">
        <v>0.45999999999999996</v>
      </c>
      <c r="F57" s="3"/>
      <c r="G57" s="3"/>
      <c r="J57" t="s">
        <v>8</v>
      </c>
      <c r="K57" t="s">
        <v>34</v>
      </c>
      <c r="L57">
        <v>9</v>
      </c>
      <c r="M57">
        <v>8</v>
      </c>
      <c r="N57">
        <v>9</v>
      </c>
      <c r="O57">
        <v>8</v>
      </c>
      <c r="P57">
        <v>66.7</v>
      </c>
    </row>
    <row r="58" spans="1:16" x14ac:dyDescent="0.65">
      <c r="A58" s="3" t="s">
        <v>49</v>
      </c>
      <c r="B58" s="3">
        <v>5</v>
      </c>
      <c r="C58" s="3">
        <v>0.47</v>
      </c>
      <c r="D58" s="3">
        <v>0.47</v>
      </c>
      <c r="E58" s="3">
        <v>0.47</v>
      </c>
      <c r="F58" s="3"/>
      <c r="G58" s="3"/>
      <c r="K58">
        <v>9</v>
      </c>
      <c r="L58">
        <v>9</v>
      </c>
      <c r="M58">
        <v>8</v>
      </c>
      <c r="N58">
        <v>9</v>
      </c>
      <c r="O58">
        <v>8</v>
      </c>
    </row>
    <row r="59" spans="1:16" x14ac:dyDescent="0.65">
      <c r="A59" s="3" t="s">
        <v>50</v>
      </c>
      <c r="B59" s="3">
        <v>1</v>
      </c>
      <c r="C59" s="3">
        <v>0.56000000000000005</v>
      </c>
      <c r="D59" s="3">
        <v>0.56000000000000005</v>
      </c>
      <c r="E59" s="3">
        <v>0.56000000000000005</v>
      </c>
      <c r="F59" s="3"/>
      <c r="G59" s="3">
        <f>SUM(C59:E63)/15</f>
        <v>0.58399999999999996</v>
      </c>
      <c r="H59" s="6">
        <f>G17-G59</f>
        <v>-7.0666666666666655E-2</v>
      </c>
      <c r="K59">
        <v>9</v>
      </c>
      <c r="L59">
        <v>9</v>
      </c>
      <c r="M59">
        <v>9</v>
      </c>
      <c r="N59">
        <v>9</v>
      </c>
      <c r="O59">
        <v>8</v>
      </c>
    </row>
    <row r="60" spans="1:16" x14ac:dyDescent="0.65">
      <c r="A60" s="3" t="s">
        <v>50</v>
      </c>
      <c r="B60" s="3">
        <v>2</v>
      </c>
      <c r="C60" s="3">
        <v>0.58000000000000007</v>
      </c>
      <c r="D60" s="3">
        <v>0.58000000000000007</v>
      </c>
      <c r="E60" s="3">
        <v>0.58000000000000007</v>
      </c>
      <c r="F60" s="3"/>
      <c r="G60" s="3"/>
      <c r="P60">
        <f>SUM(P33:P59)/9</f>
        <v>52.588888888888889</v>
      </c>
    </row>
    <row r="61" spans="1:16" x14ac:dyDescent="0.65">
      <c r="A61" s="3" t="s">
        <v>50</v>
      </c>
      <c r="B61" s="3">
        <v>3</v>
      </c>
      <c r="C61" s="3">
        <v>0.60000000000000009</v>
      </c>
      <c r="D61" s="3">
        <v>0.60000000000000009</v>
      </c>
      <c r="E61" s="3">
        <v>0.60000000000000009</v>
      </c>
      <c r="F61" s="3"/>
      <c r="G61" s="3"/>
    </row>
    <row r="62" spans="1:16" x14ac:dyDescent="0.65">
      <c r="A62" s="3" t="s">
        <v>50</v>
      </c>
      <c r="B62" s="3">
        <v>4</v>
      </c>
      <c r="C62" s="3">
        <v>0.59000000000000008</v>
      </c>
      <c r="D62" s="3">
        <v>0.59000000000000008</v>
      </c>
      <c r="E62" s="3">
        <v>0.59000000000000008</v>
      </c>
      <c r="F62" s="3"/>
      <c r="G62" s="3"/>
    </row>
    <row r="63" spans="1:16" x14ac:dyDescent="0.65">
      <c r="A63" s="3" t="s">
        <v>50</v>
      </c>
      <c r="B63" s="3">
        <v>5</v>
      </c>
      <c r="C63" s="3">
        <v>0.59000000000000008</v>
      </c>
      <c r="D63" s="3">
        <v>0.59000000000000008</v>
      </c>
      <c r="E63" s="3">
        <v>0.59000000000000008</v>
      </c>
      <c r="F63" s="3"/>
      <c r="G63" s="3"/>
    </row>
    <row r="64" spans="1:16" x14ac:dyDescent="0.65">
      <c r="A64" s="3" t="s">
        <v>51</v>
      </c>
      <c r="B64" s="3">
        <v>1</v>
      </c>
      <c r="C64" s="3">
        <v>0.58000000000000007</v>
      </c>
      <c r="D64" s="3">
        <v>0.58000000000000007</v>
      </c>
      <c r="E64" s="3">
        <v>0.58000000000000007</v>
      </c>
      <c r="F64" s="3"/>
      <c r="G64" s="3">
        <f>SUM(C64:E68)/15</f>
        <v>0.57800000000000007</v>
      </c>
      <c r="H64" s="6">
        <f>G20-G64</f>
        <v>-9.0666666666666729E-2</v>
      </c>
    </row>
    <row r="65" spans="1:8" x14ac:dyDescent="0.65">
      <c r="A65" s="3" t="s">
        <v>51</v>
      </c>
      <c r="B65" s="3">
        <v>2</v>
      </c>
      <c r="C65" s="3">
        <v>0.58000000000000007</v>
      </c>
      <c r="D65" s="3">
        <v>0.58000000000000007</v>
      </c>
      <c r="E65" s="3">
        <v>0.58000000000000007</v>
      </c>
      <c r="F65" s="3"/>
      <c r="G65" s="3"/>
    </row>
    <row r="66" spans="1:8" x14ac:dyDescent="0.65">
      <c r="A66" s="3" t="s">
        <v>51</v>
      </c>
      <c r="B66" s="3">
        <v>3</v>
      </c>
      <c r="C66" s="3">
        <v>0.59000000000000008</v>
      </c>
      <c r="D66" s="3">
        <v>0.59000000000000008</v>
      </c>
      <c r="E66" s="3">
        <v>0.59000000000000008</v>
      </c>
      <c r="F66" s="3"/>
      <c r="G66" s="3"/>
    </row>
    <row r="67" spans="1:8" x14ac:dyDescent="0.65">
      <c r="A67" s="3" t="s">
        <v>51</v>
      </c>
      <c r="B67" s="3">
        <v>4</v>
      </c>
      <c r="C67" s="3">
        <v>0.56000000000000005</v>
      </c>
      <c r="D67" s="3">
        <v>0.56000000000000005</v>
      </c>
      <c r="E67" s="3">
        <v>0.56000000000000005</v>
      </c>
      <c r="F67" s="3"/>
      <c r="G67" s="3"/>
    </row>
    <row r="68" spans="1:8" x14ac:dyDescent="0.65">
      <c r="A68" s="3" t="s">
        <v>51</v>
      </c>
      <c r="B68" s="3">
        <v>5</v>
      </c>
      <c r="C68" s="3">
        <v>0.58000000000000007</v>
      </c>
      <c r="D68" s="3">
        <v>0.58000000000000007</v>
      </c>
      <c r="E68" s="3">
        <v>0.58000000000000007</v>
      </c>
      <c r="F68" s="3"/>
      <c r="G68" s="3"/>
    </row>
    <row r="69" spans="1:8" x14ac:dyDescent="0.65">
      <c r="A69" s="3" t="s">
        <v>52</v>
      </c>
      <c r="B69" s="3">
        <v>1</v>
      </c>
      <c r="C69" s="3">
        <v>0.49</v>
      </c>
      <c r="D69" s="3">
        <v>0.49</v>
      </c>
      <c r="E69" s="3">
        <v>0.49</v>
      </c>
      <c r="F69" s="3"/>
      <c r="G69" s="3">
        <f>SUM(C69:E73)/15</f>
        <v>0.49799999999999989</v>
      </c>
      <c r="H69" s="6">
        <f>G23-G69</f>
        <v>3.1333333333333435E-2</v>
      </c>
    </row>
    <row r="70" spans="1:8" x14ac:dyDescent="0.65">
      <c r="A70" s="3" t="s">
        <v>52</v>
      </c>
      <c r="B70" s="3">
        <v>2</v>
      </c>
      <c r="C70" s="3">
        <v>0.51</v>
      </c>
      <c r="D70" s="3">
        <v>0.51</v>
      </c>
      <c r="E70" s="3">
        <v>0.51</v>
      </c>
      <c r="F70" s="3"/>
      <c r="G70" s="3"/>
    </row>
    <row r="71" spans="1:8" x14ac:dyDescent="0.65">
      <c r="A71" s="3" t="s">
        <v>52</v>
      </c>
      <c r="B71" s="3">
        <v>3</v>
      </c>
      <c r="C71" s="3">
        <v>0.51</v>
      </c>
      <c r="D71" s="3">
        <v>0.51</v>
      </c>
      <c r="E71" s="3">
        <v>0.51</v>
      </c>
      <c r="F71" s="3"/>
      <c r="G71" s="3"/>
    </row>
    <row r="72" spans="1:8" x14ac:dyDescent="0.65">
      <c r="A72" s="3" t="s">
        <v>52</v>
      </c>
      <c r="B72" s="3">
        <v>4</v>
      </c>
      <c r="C72" s="3">
        <v>0.47</v>
      </c>
      <c r="D72" s="3">
        <v>0.47</v>
      </c>
      <c r="E72" s="3">
        <v>0.47</v>
      </c>
      <c r="F72" s="3"/>
      <c r="G72" s="3"/>
    </row>
    <row r="73" spans="1:8" x14ac:dyDescent="0.65">
      <c r="A73" s="3" t="s">
        <v>52</v>
      </c>
      <c r="B73" s="3">
        <v>5</v>
      </c>
      <c r="C73" s="3">
        <v>0.51</v>
      </c>
      <c r="D73" s="3">
        <v>0.51</v>
      </c>
      <c r="E73" s="3">
        <v>0.51</v>
      </c>
      <c r="F73" s="3"/>
      <c r="G73" s="3"/>
    </row>
    <row r="74" spans="1:8" x14ac:dyDescent="0.65">
      <c r="A74" s="3" t="s">
        <v>53</v>
      </c>
      <c r="B74" s="3">
        <v>1</v>
      </c>
      <c r="C74" s="3">
        <v>0.5</v>
      </c>
      <c r="D74" s="3">
        <v>0.5</v>
      </c>
      <c r="E74" s="3">
        <v>0.5</v>
      </c>
      <c r="F74" s="3"/>
      <c r="G74" s="5">
        <f>SUM(C74:E78)/15</f>
        <v>0.53999999999999992</v>
      </c>
      <c r="H74" s="6">
        <f>G23-G74</f>
        <v>-1.0666666666666602E-2</v>
      </c>
    </row>
    <row r="75" spans="1:8" x14ac:dyDescent="0.65">
      <c r="A75" s="3" t="s">
        <v>53</v>
      </c>
      <c r="B75" s="3">
        <v>2</v>
      </c>
      <c r="C75" s="3">
        <v>0.51</v>
      </c>
      <c r="D75" s="3">
        <v>0.51</v>
      </c>
      <c r="E75" s="3">
        <v>0.51</v>
      </c>
      <c r="F75" s="3"/>
      <c r="G75" s="3"/>
    </row>
    <row r="76" spans="1:8" x14ac:dyDescent="0.65">
      <c r="A76" s="3" t="s">
        <v>53</v>
      </c>
      <c r="B76" s="3">
        <v>3</v>
      </c>
      <c r="C76" s="3">
        <v>0.54</v>
      </c>
      <c r="D76" s="3">
        <v>0.54</v>
      </c>
      <c r="E76" s="3">
        <v>0.54</v>
      </c>
      <c r="F76" s="3"/>
      <c r="G76" s="3"/>
    </row>
    <row r="77" spans="1:8" x14ac:dyDescent="0.65">
      <c r="A77" s="3" t="s">
        <v>53</v>
      </c>
      <c r="B77" s="3">
        <v>4</v>
      </c>
      <c r="C77" s="3">
        <v>0.54</v>
      </c>
      <c r="D77" s="3">
        <v>0.54</v>
      </c>
      <c r="E77" s="3">
        <v>0.54</v>
      </c>
      <c r="F77" s="3"/>
      <c r="G77" s="3"/>
    </row>
    <row r="78" spans="1:8" x14ac:dyDescent="0.65">
      <c r="A78" s="3" t="s">
        <v>53</v>
      </c>
      <c r="B78" s="3">
        <v>5</v>
      </c>
      <c r="C78" s="3">
        <v>0.61</v>
      </c>
      <c r="D78" s="3">
        <v>0.61</v>
      </c>
      <c r="E78" s="3">
        <v>0.61</v>
      </c>
      <c r="F78" s="3"/>
      <c r="G78" s="3"/>
    </row>
    <row r="79" spans="1:8" x14ac:dyDescent="0.65">
      <c r="A79" s="3"/>
      <c r="B79" s="3"/>
      <c r="C79" s="3"/>
      <c r="D79" s="3"/>
      <c r="E79" s="3"/>
      <c r="F79" s="3"/>
      <c r="G79" s="5">
        <f>SUM(G34:G78)/9</f>
        <v>0.51355555555555565</v>
      </c>
      <c r="H79" s="6">
        <f>SUM(H34:H78)/9</f>
        <v>-5.3481481481481512E-2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m-takamisawa@keio.jp</dc:creator>
  <cp:lastModifiedBy>m-takamisawa@keio.jp</cp:lastModifiedBy>
  <dcterms:created xsi:type="dcterms:W3CDTF">2025-12-26T04:03:09Z</dcterms:created>
  <dcterms:modified xsi:type="dcterms:W3CDTF">2025-12-30T14:41:30Z</dcterms:modified>
</cp:coreProperties>
</file>