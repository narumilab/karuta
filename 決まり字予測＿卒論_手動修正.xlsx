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"/>
    </mc:Choice>
  </mc:AlternateContent>
  <xr:revisionPtr revIDLastSave="0" documentId="13_ncr:1_{89886885-9A68-45A3-8F02-E59116FEF5CD}" xr6:coauthVersionLast="47" xr6:coauthVersionMax="47" xr10:uidLastSave="{00000000-0000-0000-0000-000000000000}"/>
  <bookViews>
    <workbookView xWindow="4605" yWindow="-21285" windowWidth="38955" windowHeight="14670" xr2:uid="{A6E81328-D1AD-42D7-BB69-037702FE4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39" i="1"/>
  <c r="M52" i="1"/>
  <c r="M26" i="1"/>
  <c r="Z52" i="1"/>
  <c r="Z38" i="1"/>
  <c r="Z24" i="1"/>
  <c r="Z11" i="1"/>
  <c r="X38" i="1"/>
  <c r="W38" i="1"/>
  <c r="V38" i="1"/>
  <c r="U38" i="1"/>
  <c r="T38" i="1"/>
  <c r="S38" i="1"/>
  <c r="R38" i="1"/>
  <c r="Q38" i="1"/>
  <c r="P38" i="1"/>
  <c r="O38" i="1"/>
  <c r="J39" i="1" l="1"/>
  <c r="K39" i="1"/>
  <c r="I39" i="1"/>
  <c r="H39" i="1"/>
  <c r="G39" i="1"/>
  <c r="F39" i="1"/>
  <c r="E39" i="1"/>
  <c r="D39" i="1"/>
  <c r="C39" i="1"/>
  <c r="B39" i="1"/>
  <c r="K11" i="1" l="1"/>
  <c r="J11" i="1"/>
  <c r="I11" i="1"/>
  <c r="H11" i="1"/>
  <c r="G11" i="1"/>
  <c r="F11" i="1"/>
  <c r="E11" i="1"/>
  <c r="D11" i="1"/>
  <c r="C11" i="1"/>
  <c r="B11" i="1"/>
  <c r="L11" i="1" l="1"/>
  <c r="P11" i="1"/>
  <c r="Q11" i="1"/>
  <c r="R11" i="1"/>
  <c r="S11" i="1"/>
  <c r="T11" i="1"/>
  <c r="U11" i="1"/>
  <c r="V11" i="1"/>
  <c r="W11" i="1"/>
  <c r="X11" i="1"/>
  <c r="O11" i="1"/>
  <c r="Y11" i="1" l="1"/>
  <c r="Y37" i="1"/>
  <c r="Y36" i="1"/>
  <c r="Y35" i="1"/>
  <c r="Y34" i="1"/>
  <c r="Y33" i="1"/>
  <c r="Y32" i="1"/>
  <c r="Y31" i="1"/>
  <c r="Y30" i="1"/>
  <c r="Y29" i="1"/>
  <c r="Y38" i="1" s="1"/>
  <c r="Y45" i="1" l="1"/>
  <c r="Y49" i="1"/>
  <c r="Y51" i="1"/>
  <c r="Y46" i="1"/>
  <c r="Y43" i="1"/>
  <c r="Y44" i="1"/>
  <c r="Y52" i="1"/>
  <c r="Y48" i="1"/>
  <c r="Y50" i="1"/>
  <c r="Y47" i="1"/>
  <c r="Y15" i="1" l="1"/>
  <c r="Y2" i="1"/>
  <c r="Y24" i="1"/>
  <c r="Y23" i="1"/>
  <c r="Y22" i="1"/>
  <c r="Y21" i="1"/>
  <c r="Y20" i="1"/>
  <c r="Y19" i="1"/>
  <c r="Y18" i="1"/>
  <c r="Y17" i="1"/>
  <c r="Y16" i="1"/>
  <c r="Y10" i="1"/>
  <c r="Y9" i="1"/>
  <c r="Y8" i="1"/>
  <c r="Y7" i="1"/>
  <c r="Y6" i="1"/>
  <c r="Y5" i="1"/>
  <c r="Y4" i="1"/>
  <c r="Y3" i="1"/>
  <c r="B52" i="1"/>
  <c r="L43" i="1"/>
  <c r="L30" i="1"/>
  <c r="L51" i="1"/>
  <c r="L50" i="1"/>
  <c r="L49" i="1"/>
  <c r="L48" i="1"/>
  <c r="L47" i="1"/>
  <c r="L46" i="1"/>
  <c r="L45" i="1"/>
  <c r="L44" i="1"/>
  <c r="L38" i="1"/>
  <c r="L37" i="1"/>
  <c r="L36" i="1"/>
  <c r="L35" i="1"/>
  <c r="L34" i="1"/>
  <c r="L33" i="1"/>
  <c r="L32" i="1"/>
  <c r="L31" i="1"/>
  <c r="L17" i="1"/>
  <c r="L25" i="1"/>
  <c r="L24" i="1"/>
  <c r="L23" i="1"/>
  <c r="L22" i="1"/>
  <c r="L21" i="1"/>
  <c r="L20" i="1"/>
  <c r="L19" i="1"/>
  <c r="L18" i="1"/>
  <c r="L3" i="1"/>
  <c r="L4" i="1"/>
  <c r="L5" i="1"/>
  <c r="L6" i="1"/>
  <c r="L7" i="1"/>
  <c r="L8" i="1"/>
  <c r="L9" i="1"/>
  <c r="L10" i="1"/>
  <c r="L2" i="1"/>
  <c r="D52" i="1" l="1"/>
  <c r="E52" i="1"/>
  <c r="F52" i="1"/>
  <c r="G52" i="1"/>
  <c r="H52" i="1"/>
  <c r="I52" i="1"/>
  <c r="J52" i="1"/>
  <c r="K52" i="1"/>
  <c r="C52" i="1"/>
  <c r="C26" i="1"/>
  <c r="D26" i="1"/>
  <c r="E26" i="1"/>
  <c r="F26" i="1"/>
  <c r="G26" i="1"/>
  <c r="H26" i="1"/>
  <c r="I26" i="1"/>
  <c r="J26" i="1"/>
  <c r="K26" i="1"/>
  <c r="L39" i="1" l="1"/>
  <c r="L26" i="1"/>
  <c r="L52" i="1"/>
</calcChain>
</file>

<file path=xl/sharedStrings.xml><?xml version="1.0" encoding="utf-8"?>
<sst xmlns="http://schemas.openxmlformats.org/spreadsheetml/2006/main" count="170" uniqueCount="29">
  <si>
    <t>予測精度</t>
    <rPh sb="0" eb="4">
      <t>ヨソクセイド</t>
    </rPh>
    <phoneticPr fontId="1"/>
  </si>
  <si>
    <t>1~5</t>
    <phoneticPr fontId="1"/>
  </si>
  <si>
    <t>6~10</t>
    <phoneticPr fontId="1"/>
  </si>
  <si>
    <t>11~15</t>
    <phoneticPr fontId="1"/>
  </si>
  <si>
    <t>16~20</t>
    <phoneticPr fontId="1"/>
  </si>
  <si>
    <t>21~25</t>
    <phoneticPr fontId="1"/>
  </si>
  <si>
    <t>26~30</t>
    <phoneticPr fontId="1"/>
  </si>
  <si>
    <t>31~35</t>
    <phoneticPr fontId="1"/>
  </si>
  <si>
    <t>36~40</t>
    <phoneticPr fontId="1"/>
  </si>
  <si>
    <t>41~45</t>
    <phoneticPr fontId="1"/>
  </si>
  <si>
    <t>46~50</t>
    <phoneticPr fontId="1"/>
  </si>
  <si>
    <t>nageke</t>
    <phoneticPr fontId="1"/>
  </si>
  <si>
    <t>nageki</t>
    <phoneticPr fontId="1"/>
  </si>
  <si>
    <t>ooe</t>
    <phoneticPr fontId="1"/>
  </si>
  <si>
    <t>ooke</t>
    <phoneticPr fontId="1"/>
  </si>
  <si>
    <t>ooko</t>
    <phoneticPr fontId="1"/>
  </si>
  <si>
    <t>wasura</t>
    <phoneticPr fontId="1"/>
  </si>
  <si>
    <t>wasure</t>
    <phoneticPr fontId="1"/>
  </si>
  <si>
    <t>yamaga</t>
    <phoneticPr fontId="1"/>
  </si>
  <si>
    <t>yamaza</t>
    <phoneticPr fontId="1"/>
  </si>
  <si>
    <t>average</t>
    <phoneticPr fontId="1"/>
  </si>
  <si>
    <t>初期状態1のみ確率</t>
    <rPh sb="0" eb="4">
      <t>ショキジョウタイ</t>
    </rPh>
    <rPh sb="7" eb="9">
      <t>カクリツ</t>
    </rPh>
    <phoneticPr fontId="1"/>
  </si>
  <si>
    <t>14次元目まで</t>
    <rPh sb="2" eb="5">
      <t>ジゲンメ</t>
    </rPh>
    <phoneticPr fontId="1"/>
  </si>
  <si>
    <t>先行研究</t>
    <rPh sb="0" eb="4">
      <t>センコウケンキュウ</t>
    </rPh>
    <phoneticPr fontId="1"/>
  </si>
  <si>
    <t>先行研究予測時間</t>
    <rPh sb="0" eb="2">
      <t>センコウ</t>
    </rPh>
    <rPh sb="2" eb="4">
      <t>ケンキュウ</t>
    </rPh>
    <rPh sb="4" eb="6">
      <t>ヨソク</t>
    </rPh>
    <rPh sb="6" eb="8">
      <t>ジカン</t>
    </rPh>
    <phoneticPr fontId="1"/>
  </si>
  <si>
    <t>予測時間一致のみ</t>
    <rPh sb="0" eb="2">
      <t>ヨソク</t>
    </rPh>
    <rPh sb="2" eb="4">
      <t>ジカン</t>
    </rPh>
    <rPh sb="4" eb="6">
      <t>イッチ</t>
    </rPh>
    <phoneticPr fontId="1"/>
  </si>
  <si>
    <t>標準偏差</t>
    <rPh sb="0" eb="4">
      <t>ヒョウジュンヘンサ</t>
    </rPh>
    <phoneticPr fontId="1"/>
  </si>
  <si>
    <t>予測時間:提案手法、手動調節</t>
    <rPh sb="0" eb="2">
      <t>ヨソク</t>
    </rPh>
    <rPh sb="2" eb="4">
      <t>ジカン</t>
    </rPh>
    <rPh sb="5" eb="9">
      <t>テイアンシュホウ</t>
    </rPh>
    <rPh sb="10" eb="14">
      <t>シュドウチョウセツ</t>
    </rPh>
    <phoneticPr fontId="1"/>
  </si>
  <si>
    <t>先行　一致のみ</t>
    <rPh sb="0" eb="2">
      <t>センコウ</t>
    </rPh>
    <rPh sb="3" eb="5">
      <t>イッチ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</si>
</sst>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9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56" fontId="0" fillId="2" borderId="0" xfId="0" applyNumberFormat="1" applyFill="1">
      <alignment vertical="center"/>
    </xf>
    <xf numFmtId="0" fontId="0" fillId="2" borderId="0" xfId="0" applyFill="1" applyAlignment="1"/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976D-B6FB-4916-82CA-FA9140AEA8B7}">
  <dimension ref="A1:Z52"/>
  <sheetViews>
    <sheetView tabSelected="1" topLeftCell="A10" zoomScale="128" workbookViewId="0">
      <selection activeCell="L17" sqref="L17:L26"/>
    </sheetView>
  </sheetViews>
  <sheetFormatPr defaultRowHeight="18.45" x14ac:dyDescent="0.65"/>
  <cols>
    <col min="12" max="12" width="10.42578125" bestFit="1" customWidth="1"/>
  </cols>
  <sheetData>
    <row r="1" spans="1:26" x14ac:dyDescent="0.6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26</v>
      </c>
      <c r="N1" t="s">
        <v>27</v>
      </c>
      <c r="O1" s="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</row>
    <row r="2" spans="1:26" x14ac:dyDescent="0.65">
      <c r="A2" t="s">
        <v>11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 s="8">
        <f>SUM(B2:K2)/10</f>
        <v>100</v>
      </c>
      <c r="N2" t="s">
        <v>11</v>
      </c>
      <c r="O2">
        <v>0.65300000000000002</v>
      </c>
      <c r="P2" s="2">
        <v>0.71400000000000019</v>
      </c>
      <c r="Q2" s="2">
        <v>0.67800000000000005</v>
      </c>
      <c r="R2" s="2">
        <v>0.70466666666666655</v>
      </c>
      <c r="S2" s="2">
        <v>0.59733333333333338</v>
      </c>
      <c r="T2" s="2">
        <v>0.63800000000000001</v>
      </c>
      <c r="U2">
        <v>0.6066666666666668</v>
      </c>
      <c r="V2">
        <v>0.64600000000000002</v>
      </c>
      <c r="W2">
        <v>0.59333333333333338</v>
      </c>
      <c r="X2">
        <v>0.5</v>
      </c>
      <c r="Y2">
        <f>SUM(O2:X2)/10</f>
        <v>0.6331</v>
      </c>
    </row>
    <row r="3" spans="1:26" x14ac:dyDescent="0.65">
      <c r="A3" t="s">
        <v>12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80</v>
      </c>
      <c r="J3">
        <v>100</v>
      </c>
      <c r="K3">
        <v>100</v>
      </c>
      <c r="L3" s="8">
        <f>SUM(B3:K3)/10</f>
        <v>98</v>
      </c>
      <c r="N3" t="s">
        <v>12</v>
      </c>
      <c r="O3">
        <v>0.66600000000000004</v>
      </c>
      <c r="P3" s="2">
        <v>0.61799999999999999</v>
      </c>
      <c r="Q3" s="2">
        <v>0.62666666666666682</v>
      </c>
      <c r="R3" s="2">
        <v>0.64083333333333337</v>
      </c>
      <c r="S3" s="2">
        <v>0.64133333333333342</v>
      </c>
      <c r="T3" s="2">
        <v>0.60133333333333328</v>
      </c>
      <c r="U3">
        <v>0.68055555555555558</v>
      </c>
      <c r="V3">
        <v>0.62333333333333329</v>
      </c>
      <c r="W3">
        <v>0.64541666666666675</v>
      </c>
      <c r="X3">
        <v>0.66466666666666674</v>
      </c>
      <c r="Y3">
        <f>SUM(O3:X3)/10</f>
        <v>0.64081388888888891</v>
      </c>
    </row>
    <row r="4" spans="1:26" x14ac:dyDescent="0.65">
      <c r="A4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86.67</v>
      </c>
      <c r="H4">
        <v>100</v>
      </c>
      <c r="I4">
        <v>100</v>
      </c>
      <c r="J4">
        <v>100</v>
      </c>
      <c r="K4">
        <v>100</v>
      </c>
      <c r="L4" s="8">
        <f t="shared" ref="L4:L10" si="0">SUM(B4:K4)/10</f>
        <v>98.667000000000002</v>
      </c>
      <c r="N4" t="s">
        <v>13</v>
      </c>
      <c r="O4">
        <v>0.50700000000000001</v>
      </c>
      <c r="P4" s="2">
        <v>0.62638888888888888</v>
      </c>
      <c r="Q4" s="2">
        <v>0.623</v>
      </c>
      <c r="R4" s="2">
        <v>0.62749999999999995</v>
      </c>
      <c r="S4" s="2">
        <v>0.53749999999999998</v>
      </c>
      <c r="T4" s="2">
        <v>0.56866666666666676</v>
      </c>
      <c r="U4">
        <v>0.62199999999999989</v>
      </c>
      <c r="V4">
        <v>0.54600000000000004</v>
      </c>
      <c r="W4">
        <v>0.6004166666666666</v>
      </c>
      <c r="X4">
        <v>0.59875</v>
      </c>
      <c r="Y4">
        <f t="shared" ref="Y4:Y10" si="1">SUM(O4:X4)/10</f>
        <v>0.58572222222222226</v>
      </c>
    </row>
    <row r="5" spans="1:26" x14ac:dyDescent="0.65">
      <c r="A5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 s="8">
        <f t="shared" si="0"/>
        <v>100</v>
      </c>
      <c r="N5" t="s">
        <v>14</v>
      </c>
      <c r="O5">
        <v>0.53800000000000003</v>
      </c>
      <c r="P5" s="2">
        <v>0.57666666666666677</v>
      </c>
      <c r="Q5" s="2">
        <v>0.57000000000000017</v>
      </c>
      <c r="R5" s="2">
        <v>0.4786111111111111</v>
      </c>
      <c r="S5" s="2">
        <v>0.54066666666666663</v>
      </c>
      <c r="T5" s="2">
        <v>0.54333333333333333</v>
      </c>
      <c r="U5">
        <v>0.54333333333333322</v>
      </c>
      <c r="V5">
        <v>0.47933333333333344</v>
      </c>
      <c r="W5">
        <v>0.54333333333333333</v>
      </c>
      <c r="X5">
        <v>0.53625</v>
      </c>
      <c r="Y5">
        <f t="shared" si="1"/>
        <v>0.53495277777777783</v>
      </c>
    </row>
    <row r="6" spans="1:26" x14ac:dyDescent="0.65">
      <c r="A6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93.33</v>
      </c>
      <c r="J6">
        <v>100</v>
      </c>
      <c r="K6">
        <v>100</v>
      </c>
      <c r="L6" s="8">
        <f t="shared" si="0"/>
        <v>99.332999999999998</v>
      </c>
      <c r="N6" t="s">
        <v>15</v>
      </c>
      <c r="O6">
        <v>0.51700000000000002</v>
      </c>
      <c r="P6" s="2">
        <v>0.51866666666666661</v>
      </c>
      <c r="Q6" s="2">
        <v>0.53066666666666673</v>
      </c>
      <c r="R6" s="2">
        <v>0.52666666666666673</v>
      </c>
      <c r="S6" s="2">
        <v>0.52400000000000002</v>
      </c>
      <c r="T6" s="2">
        <v>0.53466666666666662</v>
      </c>
      <c r="U6">
        <v>0.53933333333333333</v>
      </c>
      <c r="V6">
        <v>0.54533333333333334</v>
      </c>
      <c r="W6">
        <v>0.54733333333333334</v>
      </c>
      <c r="X6">
        <v>0.50533333333333341</v>
      </c>
      <c r="Y6">
        <f t="shared" si="1"/>
        <v>0.52890000000000015</v>
      </c>
    </row>
    <row r="7" spans="1:26" x14ac:dyDescent="0.65">
      <c r="A7" t="s">
        <v>16</v>
      </c>
      <c r="B7">
        <v>100</v>
      </c>
      <c r="C7">
        <v>100</v>
      </c>
      <c r="D7">
        <v>100</v>
      </c>
      <c r="E7">
        <v>80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 s="8">
        <f t="shared" si="0"/>
        <v>98</v>
      </c>
      <c r="N7" t="s">
        <v>16</v>
      </c>
      <c r="O7">
        <v>0.67300000000000004</v>
      </c>
      <c r="P7" s="2">
        <v>0.66733333333333333</v>
      </c>
      <c r="Q7" s="2">
        <v>0.65133333333333343</v>
      </c>
      <c r="R7" s="2">
        <v>0.65958333333333341</v>
      </c>
      <c r="S7" s="2">
        <v>0.65200000000000002</v>
      </c>
      <c r="T7" s="2">
        <v>0.66533333333333333</v>
      </c>
      <c r="U7">
        <v>0.63733333333333342</v>
      </c>
      <c r="V7">
        <v>0.59266666666666656</v>
      </c>
      <c r="W7">
        <v>0.57466666666666677</v>
      </c>
      <c r="X7">
        <v>0.65333333333333332</v>
      </c>
      <c r="Y7">
        <f t="shared" si="1"/>
        <v>0.64265833333333333</v>
      </c>
    </row>
    <row r="8" spans="1:26" x14ac:dyDescent="0.65">
      <c r="A8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 s="8">
        <f t="shared" si="0"/>
        <v>100</v>
      </c>
      <c r="N8" t="s">
        <v>17</v>
      </c>
      <c r="O8">
        <v>0.64700000000000002</v>
      </c>
      <c r="P8" s="2">
        <v>0.64933333333333332</v>
      </c>
      <c r="Q8" s="2">
        <v>0.68399999999999994</v>
      </c>
      <c r="R8" s="2">
        <v>0.65200000000000002</v>
      </c>
      <c r="S8" s="2">
        <v>0.69166666666666654</v>
      </c>
      <c r="T8" s="2">
        <v>0.6326666666666666</v>
      </c>
      <c r="U8">
        <v>0.64733333333333343</v>
      </c>
      <c r="V8">
        <v>0.65666666666666673</v>
      </c>
      <c r="W8">
        <v>0.65133333333333343</v>
      </c>
      <c r="X8">
        <v>0.63400000000000001</v>
      </c>
      <c r="Y8">
        <f t="shared" si="1"/>
        <v>0.65460000000000007</v>
      </c>
    </row>
    <row r="9" spans="1:26" x14ac:dyDescent="0.65">
      <c r="A9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 s="8">
        <f t="shared" si="0"/>
        <v>100</v>
      </c>
      <c r="N9" t="s">
        <v>18</v>
      </c>
      <c r="O9">
        <v>0.68899999999999995</v>
      </c>
      <c r="P9" s="2">
        <v>0.48933333333333329</v>
      </c>
      <c r="Q9" s="2">
        <v>0.51666666666666672</v>
      </c>
      <c r="R9" s="2">
        <v>0.50933333333333353</v>
      </c>
      <c r="S9" s="2">
        <v>0.36399999999999999</v>
      </c>
      <c r="T9" s="2">
        <v>0.53533333333333344</v>
      </c>
      <c r="U9">
        <v>0.52399999999999991</v>
      </c>
      <c r="V9">
        <v>0.55200000000000005</v>
      </c>
      <c r="W9">
        <v>0.44933333333333325</v>
      </c>
      <c r="X9">
        <v>0.55466666666666664</v>
      </c>
      <c r="Y9">
        <f t="shared" si="1"/>
        <v>0.51836666666666675</v>
      </c>
    </row>
    <row r="10" spans="1:26" x14ac:dyDescent="0.65">
      <c r="A10" t="s">
        <v>19</v>
      </c>
      <c r="B10">
        <v>100</v>
      </c>
      <c r="C10">
        <v>73.33</v>
      </c>
      <c r="D10">
        <v>100</v>
      </c>
      <c r="E10">
        <v>100</v>
      </c>
      <c r="F10">
        <v>60</v>
      </c>
      <c r="G10">
        <v>100</v>
      </c>
      <c r="H10">
        <v>100</v>
      </c>
      <c r="I10">
        <v>100</v>
      </c>
      <c r="J10">
        <v>100</v>
      </c>
      <c r="K10">
        <v>100</v>
      </c>
      <c r="L10" s="8">
        <f t="shared" si="0"/>
        <v>93.332999999999998</v>
      </c>
      <c r="N10" t="s">
        <v>19</v>
      </c>
      <c r="O10">
        <v>0.54500000000000004</v>
      </c>
      <c r="P10" s="2">
        <v>0.54555555555555557</v>
      </c>
      <c r="Q10" s="2">
        <v>0.59599999999999997</v>
      </c>
      <c r="R10" s="2">
        <v>0.55800000000000005</v>
      </c>
      <c r="S10" s="2">
        <v>0.51466666666666683</v>
      </c>
      <c r="T10" s="2">
        <v>0.50666666666666671</v>
      </c>
      <c r="U10">
        <v>0.56466666666666676</v>
      </c>
      <c r="V10">
        <v>0.55333333333333323</v>
      </c>
      <c r="W10">
        <v>0.59749999999999992</v>
      </c>
      <c r="X10">
        <v>0.54199999999999993</v>
      </c>
      <c r="Y10">
        <f t="shared" si="1"/>
        <v>0.55233888888888882</v>
      </c>
    </row>
    <row r="11" spans="1:26" x14ac:dyDescent="0.65">
      <c r="A11" t="s">
        <v>20</v>
      </c>
      <c r="B11">
        <f>SUM(B2:B10)/9</f>
        <v>100</v>
      </c>
      <c r="C11">
        <f t="shared" ref="C11" si="2">SUM(C2:C10)/9</f>
        <v>97.036666666666676</v>
      </c>
      <c r="D11">
        <f t="shared" ref="D11" si="3">SUM(D2:D10)/9</f>
        <v>100</v>
      </c>
      <c r="E11">
        <f t="shared" ref="E11" si="4">SUM(E2:E10)/9</f>
        <v>97.777777777777771</v>
      </c>
      <c r="F11">
        <f t="shared" ref="F11" si="5">SUM(F2:F10)/9</f>
        <v>95.555555555555557</v>
      </c>
      <c r="G11">
        <f t="shared" ref="G11" si="6">SUM(G2:G10)/9</f>
        <v>98.518888888888895</v>
      </c>
      <c r="H11">
        <f t="shared" ref="H11" si="7">SUM(H2:H10)/9</f>
        <v>100</v>
      </c>
      <c r="I11">
        <f t="shared" ref="I11" si="8">SUM(I2:I10)/9</f>
        <v>97.036666666666662</v>
      </c>
      <c r="J11">
        <f t="shared" ref="J11" si="9">SUM(J2:J10)/9</f>
        <v>100</v>
      </c>
      <c r="K11">
        <f t="shared" ref="K11" si="10">SUM(K2:K10)/9</f>
        <v>100</v>
      </c>
      <c r="L11" s="8">
        <f>SUM(B11:K11)/10</f>
        <v>98.592555555555549</v>
      </c>
      <c r="M11">
        <f>_xlfn.STDEV.S(L2:L10)</f>
        <v>2.1460011714297313</v>
      </c>
      <c r="N11" t="s">
        <v>20</v>
      </c>
      <c r="O11">
        <f>SUM(O2:O10)/9</f>
        <v>0.60388888888888881</v>
      </c>
      <c r="P11">
        <f t="shared" ref="P11:X11" si="11">SUM(P2:P10)/9</f>
        <v>0.60058641975308658</v>
      </c>
      <c r="Q11">
        <f t="shared" si="11"/>
        <v>0.60848148148148151</v>
      </c>
      <c r="R11">
        <f t="shared" si="11"/>
        <v>0.59524382716049384</v>
      </c>
      <c r="S11">
        <f t="shared" si="11"/>
        <v>0.56257407407407412</v>
      </c>
      <c r="T11">
        <f t="shared" si="11"/>
        <v>0.58066666666666666</v>
      </c>
      <c r="U11">
        <f t="shared" si="11"/>
        <v>0.59613580246913578</v>
      </c>
      <c r="V11">
        <f t="shared" si="11"/>
        <v>0.57718518518518513</v>
      </c>
      <c r="W11">
        <f t="shared" si="11"/>
        <v>0.57807407407407418</v>
      </c>
      <c r="X11">
        <f t="shared" si="11"/>
        <v>0.5765555555555556</v>
      </c>
      <c r="Y11">
        <f>SUM(O11:X11)/10</f>
        <v>0.58793919753086421</v>
      </c>
      <c r="Z11">
        <f>_xlfn.STDEV.S(Y2:Y10)</f>
        <v>5.5541537388440504E-2</v>
      </c>
    </row>
    <row r="13" spans="1:26" x14ac:dyDescent="0.65">
      <c r="Z13" t="s">
        <v>26</v>
      </c>
    </row>
    <row r="14" spans="1:26" x14ac:dyDescent="0.65">
      <c r="N14" s="3" t="s">
        <v>24</v>
      </c>
      <c r="O14" s="4" t="s">
        <v>1</v>
      </c>
      <c r="P14" s="3" t="s">
        <v>2</v>
      </c>
      <c r="Q14" s="3" t="s">
        <v>3</v>
      </c>
      <c r="R14" s="3" t="s">
        <v>4</v>
      </c>
      <c r="S14" s="3" t="s">
        <v>5</v>
      </c>
      <c r="T14" s="3" t="s">
        <v>6</v>
      </c>
      <c r="U14" s="3" t="s">
        <v>7</v>
      </c>
      <c r="V14" s="3" t="s">
        <v>8</v>
      </c>
      <c r="W14" s="3" t="s">
        <v>9</v>
      </c>
      <c r="X14" s="3" t="s">
        <v>10</v>
      </c>
      <c r="Y14" s="3"/>
    </row>
    <row r="15" spans="1:26" x14ac:dyDescent="0.65">
      <c r="N15" s="3" t="s">
        <v>11</v>
      </c>
      <c r="O15" s="3">
        <v>0.60199999999999998</v>
      </c>
      <c r="P15" s="5">
        <v>0.65200000000000002</v>
      </c>
      <c r="Q15" s="5">
        <v>0.62400000000000011</v>
      </c>
      <c r="R15" s="5">
        <v>0.58599999999999997</v>
      </c>
      <c r="S15" s="5">
        <v>0.56799999999999995</v>
      </c>
      <c r="T15" s="3">
        <v>0.58799999999999997</v>
      </c>
      <c r="U15" s="3">
        <v>0.59799999999999998</v>
      </c>
      <c r="V15" s="3">
        <v>0.6160000000000001</v>
      </c>
      <c r="W15" s="3">
        <v>0.6040000000000002</v>
      </c>
      <c r="X15" s="3">
        <v>0.55199999999999994</v>
      </c>
      <c r="Y15" s="3">
        <f>SUM(O15:X15)/10</f>
        <v>0.59899999999999998</v>
      </c>
    </row>
    <row r="16" spans="1:26" x14ac:dyDescent="0.65">
      <c r="A16" t="s">
        <v>21</v>
      </c>
      <c r="B16" s="1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N16" s="3" t="s">
        <v>12</v>
      </c>
      <c r="O16" s="3">
        <v>0.55000000000000004</v>
      </c>
      <c r="P16" s="5">
        <v>0.48599999999999993</v>
      </c>
      <c r="Q16" s="5">
        <v>0.51800000000000013</v>
      </c>
      <c r="R16" s="5">
        <v>0.53</v>
      </c>
      <c r="S16" s="5">
        <v>0.53200000000000003</v>
      </c>
      <c r="T16" s="3">
        <v>0.49200000000000005</v>
      </c>
      <c r="U16" s="3">
        <v>0.55400000000000016</v>
      </c>
      <c r="V16" s="3">
        <v>0.54800000000000004</v>
      </c>
      <c r="W16" s="3">
        <v>0.54200000000000004</v>
      </c>
      <c r="X16" s="3">
        <v>0.55800000000000005</v>
      </c>
      <c r="Y16" s="3">
        <f>SUM(O16:X16)/10</f>
        <v>0.53100000000000003</v>
      </c>
    </row>
    <row r="17" spans="1:26" x14ac:dyDescent="0.65">
      <c r="A17" t="s">
        <v>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8">
        <f>SUM(B17:K17)/10</f>
        <v>0</v>
      </c>
      <c r="N17" s="3" t="s">
        <v>13</v>
      </c>
      <c r="O17" s="3">
        <v>0.4</v>
      </c>
      <c r="P17" s="5">
        <v>0.44400000000000001</v>
      </c>
      <c r="Q17" s="5">
        <v>0.44800000000000006</v>
      </c>
      <c r="R17" s="5">
        <v>0.45999999999999996</v>
      </c>
      <c r="S17" s="5">
        <v>0.43400000000000011</v>
      </c>
      <c r="T17" s="3">
        <v>0.43399999999999994</v>
      </c>
      <c r="U17" s="3">
        <v>0.4840000000000001</v>
      </c>
      <c r="V17" s="3">
        <v>0.39200000000000002</v>
      </c>
      <c r="W17" s="3">
        <v>0.44800000000000001</v>
      </c>
      <c r="X17" s="3">
        <v>0.41199999999999998</v>
      </c>
      <c r="Y17" s="3">
        <f t="shared" ref="Y17:Y23" si="12">SUM(O17:X17)/10</f>
        <v>0.43559999999999999</v>
      </c>
    </row>
    <row r="18" spans="1:26" x14ac:dyDescent="0.65">
      <c r="A18" t="s">
        <v>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8">
        <f>SUM(B18:K18)/10</f>
        <v>0</v>
      </c>
      <c r="N18" s="3" t="s">
        <v>14</v>
      </c>
      <c r="O18" s="3">
        <v>0.41799999999999998</v>
      </c>
      <c r="P18" s="5">
        <v>0.47399999999999998</v>
      </c>
      <c r="Q18" s="5">
        <v>0.48000000000000009</v>
      </c>
      <c r="R18" s="5">
        <v>0.44000000000000006</v>
      </c>
      <c r="S18" s="5">
        <v>0.46</v>
      </c>
      <c r="T18" s="3">
        <v>0.45</v>
      </c>
      <c r="U18" s="3">
        <v>0.44200000000000012</v>
      </c>
      <c r="V18" s="3">
        <v>0.44800000000000006</v>
      </c>
      <c r="W18" s="3">
        <v>0.41600000000000009</v>
      </c>
      <c r="X18" s="3">
        <v>0.44400000000000012</v>
      </c>
      <c r="Y18" s="3">
        <f t="shared" si="12"/>
        <v>0.44720000000000004</v>
      </c>
    </row>
    <row r="19" spans="1:26" x14ac:dyDescent="0.65">
      <c r="A19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8">
        <f t="shared" ref="L19:L25" si="13">SUM(B19:K19)/10</f>
        <v>0</v>
      </c>
      <c r="N19" s="3" t="s">
        <v>15</v>
      </c>
      <c r="O19" s="3">
        <v>0.45200000000000001</v>
      </c>
      <c r="P19" s="5">
        <v>0.45999999999999996</v>
      </c>
      <c r="Q19" s="5">
        <v>0.48800000000000004</v>
      </c>
      <c r="R19" s="5">
        <v>0.47999999999999993</v>
      </c>
      <c r="S19" s="5">
        <v>0.48600000000000004</v>
      </c>
      <c r="T19" s="3">
        <v>0.46399999999999991</v>
      </c>
      <c r="U19" s="3">
        <v>0.47599999999999998</v>
      </c>
      <c r="V19" s="3">
        <v>0.46799999999999997</v>
      </c>
      <c r="W19" s="3">
        <v>0.46400000000000002</v>
      </c>
      <c r="X19" s="3">
        <v>0.46399999999999991</v>
      </c>
      <c r="Y19" s="3">
        <f t="shared" si="12"/>
        <v>0.47020000000000001</v>
      </c>
    </row>
    <row r="20" spans="1:26" x14ac:dyDescent="0.65">
      <c r="A20" t="s">
        <v>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8">
        <f t="shared" si="13"/>
        <v>0</v>
      </c>
      <c r="N20" s="3" t="s">
        <v>16</v>
      </c>
      <c r="O20" s="3">
        <v>0.58399999999999996</v>
      </c>
      <c r="P20" s="5">
        <v>0.57599999999999996</v>
      </c>
      <c r="Q20" s="5">
        <v>0.57400000000000007</v>
      </c>
      <c r="R20" s="5">
        <v>0.60599999999999998</v>
      </c>
      <c r="S20" s="5">
        <v>0.59000000000000008</v>
      </c>
      <c r="T20" s="3">
        <v>0.58000000000000007</v>
      </c>
      <c r="U20" s="3">
        <v>0.55400000000000005</v>
      </c>
      <c r="V20" s="3">
        <v>0.5</v>
      </c>
      <c r="W20" s="3">
        <v>0.47400000000000014</v>
      </c>
      <c r="X20" s="3">
        <v>0.53400000000000014</v>
      </c>
      <c r="Y20" s="3">
        <f t="shared" si="12"/>
        <v>0.55720000000000003</v>
      </c>
    </row>
    <row r="21" spans="1:26" x14ac:dyDescent="0.65">
      <c r="A21" t="s">
        <v>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8">
        <f t="shared" si="13"/>
        <v>0</v>
      </c>
      <c r="N21" s="3" t="s">
        <v>17</v>
      </c>
      <c r="O21" s="3">
        <v>0.57799999999999996</v>
      </c>
      <c r="P21" s="5">
        <v>0.58399999999999996</v>
      </c>
      <c r="Q21" s="5">
        <v>0.59600000000000009</v>
      </c>
      <c r="R21" s="5">
        <v>0.56600000000000006</v>
      </c>
      <c r="S21" s="5">
        <v>0.57999999999999996</v>
      </c>
      <c r="T21" s="3">
        <v>0.57799999999999996</v>
      </c>
      <c r="U21" s="3">
        <v>0.57399999999999995</v>
      </c>
      <c r="V21" s="3">
        <v>0.57600000000000018</v>
      </c>
      <c r="W21" s="3">
        <v>0.54800000000000004</v>
      </c>
      <c r="X21" s="3">
        <v>0.54400000000000004</v>
      </c>
      <c r="Y21" s="3">
        <f t="shared" si="12"/>
        <v>0.57240000000000002</v>
      </c>
    </row>
    <row r="22" spans="1:26" x14ac:dyDescent="0.65">
      <c r="A22" t="s">
        <v>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8">
        <f t="shared" si="13"/>
        <v>0</v>
      </c>
      <c r="N22" s="3" t="s">
        <v>18</v>
      </c>
      <c r="O22" s="3">
        <v>0.498</v>
      </c>
      <c r="P22" s="5">
        <v>0.49600000000000005</v>
      </c>
      <c r="Q22" s="5">
        <v>0.43800000000000006</v>
      </c>
      <c r="R22" s="5">
        <v>0.504</v>
      </c>
      <c r="S22" s="5">
        <v>0.28000000000000003</v>
      </c>
      <c r="T22" s="3">
        <v>0.45999999999999996</v>
      </c>
      <c r="U22" s="3">
        <v>0.45</v>
      </c>
      <c r="V22" s="3">
        <v>0.48399999999999999</v>
      </c>
      <c r="W22" s="3">
        <v>0.35799999999999998</v>
      </c>
      <c r="X22" s="3">
        <v>0.47399999999999998</v>
      </c>
      <c r="Y22" s="3">
        <f t="shared" si="12"/>
        <v>0.44420000000000004</v>
      </c>
    </row>
    <row r="23" spans="1:26" x14ac:dyDescent="0.65">
      <c r="A23" t="s">
        <v>17</v>
      </c>
      <c r="B23">
        <v>0</v>
      </c>
      <c r="C23">
        <v>0</v>
      </c>
      <c r="D23">
        <v>0</v>
      </c>
      <c r="E23">
        <v>0</v>
      </c>
      <c r="F23">
        <v>6.67</v>
      </c>
      <c r="G23">
        <v>0</v>
      </c>
      <c r="H23">
        <v>0</v>
      </c>
      <c r="I23">
        <v>0</v>
      </c>
      <c r="J23">
        <v>0</v>
      </c>
      <c r="K23">
        <v>0</v>
      </c>
      <c r="L23" s="8">
        <f t="shared" si="13"/>
        <v>0.66700000000000004</v>
      </c>
      <c r="N23" s="3" t="s">
        <v>19</v>
      </c>
      <c r="O23" s="3">
        <v>0.54</v>
      </c>
      <c r="P23" s="5">
        <v>0.41600000000000004</v>
      </c>
      <c r="Q23" s="5">
        <v>0.46600000000000003</v>
      </c>
      <c r="R23" s="5">
        <v>0.45399999999999996</v>
      </c>
      <c r="S23" s="5">
        <v>0.48199999999999998</v>
      </c>
      <c r="T23" s="3">
        <v>0.39400000000000002</v>
      </c>
      <c r="U23" s="3">
        <v>0.43</v>
      </c>
      <c r="V23" s="3">
        <v>0.44200000000000006</v>
      </c>
      <c r="W23" s="3">
        <v>0.47600000000000003</v>
      </c>
      <c r="X23" s="3">
        <v>0.43</v>
      </c>
      <c r="Y23" s="3">
        <f t="shared" si="12"/>
        <v>0.45300000000000001</v>
      </c>
    </row>
    <row r="24" spans="1:26" x14ac:dyDescent="0.65">
      <c r="A24" t="s">
        <v>18</v>
      </c>
      <c r="B24">
        <v>0</v>
      </c>
      <c r="C24">
        <v>6.67</v>
      </c>
      <c r="D24">
        <v>13.33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8">
        <f t="shared" si="13"/>
        <v>2</v>
      </c>
      <c r="N24" s="3" t="s">
        <v>20</v>
      </c>
      <c r="O24" s="3">
        <v>0.51400000000000001</v>
      </c>
      <c r="P24" s="5">
        <v>0.50977777777777789</v>
      </c>
      <c r="Q24" s="5">
        <v>0.51466666666666672</v>
      </c>
      <c r="R24" s="5">
        <v>0.51400000000000001</v>
      </c>
      <c r="S24" s="5">
        <v>0.49022222222222234</v>
      </c>
      <c r="T24" s="3">
        <v>0.49333333333333329</v>
      </c>
      <c r="U24" s="3">
        <v>0.50688888888888894</v>
      </c>
      <c r="V24" s="3">
        <v>0.49711111111111111</v>
      </c>
      <c r="W24" s="3">
        <v>0.48111111111111121</v>
      </c>
      <c r="X24" s="3">
        <v>0.49022222222222223</v>
      </c>
      <c r="Y24" s="3">
        <f>SUM(O24:X24)/10</f>
        <v>0.50113333333333321</v>
      </c>
      <c r="Z24">
        <f>_xlfn.STDEV.S(Y15:Y23)</f>
        <v>6.3650224753028964E-2</v>
      </c>
    </row>
    <row r="25" spans="1:26" x14ac:dyDescent="0.65">
      <c r="A25" t="s">
        <v>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8">
        <f t="shared" si="13"/>
        <v>0</v>
      </c>
    </row>
    <row r="26" spans="1:26" x14ac:dyDescent="0.65">
      <c r="A26" t="s">
        <v>20</v>
      </c>
      <c r="B26">
        <v>0</v>
      </c>
      <c r="C26">
        <f>SUM(C17:C25)/9</f>
        <v>0.74111111111111105</v>
      </c>
      <c r="D26">
        <f t="shared" ref="D26:K26" si="14">SUM(D17:D25)/9</f>
        <v>1.481111111111111</v>
      </c>
      <c r="E26">
        <f t="shared" si="14"/>
        <v>0</v>
      </c>
      <c r="F26">
        <f t="shared" si="14"/>
        <v>0.74111111111111105</v>
      </c>
      <c r="G26">
        <f t="shared" si="14"/>
        <v>0</v>
      </c>
      <c r="H26">
        <f t="shared" si="14"/>
        <v>0</v>
      </c>
      <c r="I26">
        <f t="shared" si="14"/>
        <v>0</v>
      </c>
      <c r="J26">
        <f t="shared" si="14"/>
        <v>0</v>
      </c>
      <c r="K26">
        <f t="shared" si="14"/>
        <v>0</v>
      </c>
      <c r="L26" s="8">
        <f>SUM(B26:K26)/10</f>
        <v>0.29633333333333334</v>
      </c>
      <c r="M26">
        <f>_xlfn.STDEV.S(L17:L25)</f>
        <v>0.67588534530643585</v>
      </c>
    </row>
    <row r="28" spans="1:26" x14ac:dyDescent="0.65">
      <c r="N28" t="s">
        <v>25</v>
      </c>
      <c r="O28" s="1" t="s">
        <v>1</v>
      </c>
      <c r="P28" t="s">
        <v>2</v>
      </c>
      <c r="Q28" t="s">
        <v>3</v>
      </c>
      <c r="R28" t="s">
        <v>4</v>
      </c>
      <c r="S28" t="s">
        <v>5</v>
      </c>
      <c r="T28" t="s">
        <v>6</v>
      </c>
      <c r="U28" t="s">
        <v>7</v>
      </c>
      <c r="V28" t="s">
        <v>8</v>
      </c>
      <c r="W28" t="s">
        <v>9</v>
      </c>
      <c r="X28" t="s">
        <v>10</v>
      </c>
    </row>
    <row r="29" spans="1:26" x14ac:dyDescent="0.65">
      <c r="A29" t="s">
        <v>22</v>
      </c>
      <c r="B29" s="1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N29" t="s">
        <v>11</v>
      </c>
      <c r="O29">
        <v>0.65300000000000002</v>
      </c>
      <c r="P29" s="2">
        <v>0.71400000000000019</v>
      </c>
      <c r="Q29" s="2">
        <v>0.67800000000000005</v>
      </c>
      <c r="R29" s="2">
        <v>0.70466666666666655</v>
      </c>
      <c r="S29" s="2">
        <v>0.59733333333333338</v>
      </c>
      <c r="T29" s="2">
        <v>0.63800000000000001</v>
      </c>
      <c r="U29">
        <v>0.6066666666666668</v>
      </c>
      <c r="V29">
        <v>0.64600000000000002</v>
      </c>
      <c r="W29">
        <v>0.59333333333333338</v>
      </c>
      <c r="X29">
        <v>0.5</v>
      </c>
      <c r="Y29" s="7">
        <f>SUM(O29:X29)/10</f>
        <v>0.6331</v>
      </c>
    </row>
    <row r="30" spans="1:26" x14ac:dyDescent="0.65">
      <c r="A30" t="s">
        <v>11</v>
      </c>
      <c r="B30">
        <v>100</v>
      </c>
      <c r="C30">
        <v>93.33</v>
      </c>
      <c r="D30">
        <v>100</v>
      </c>
      <c r="E30">
        <v>100</v>
      </c>
      <c r="F30">
        <v>80</v>
      </c>
      <c r="G30">
        <v>100</v>
      </c>
      <c r="H30">
        <v>100</v>
      </c>
      <c r="I30">
        <v>100</v>
      </c>
      <c r="J30">
        <v>100</v>
      </c>
      <c r="K30">
        <v>93.33</v>
      </c>
      <c r="L30" s="8">
        <f>SUM(B30:K30)/10</f>
        <v>96.665999999999997</v>
      </c>
      <c r="N30" t="s">
        <v>12</v>
      </c>
      <c r="O30">
        <v>0.66600000000000004</v>
      </c>
      <c r="P30" s="2">
        <v>0.61799999999999999</v>
      </c>
      <c r="Q30" s="2">
        <v>0.62666666666666682</v>
      </c>
      <c r="R30" s="2">
        <v>0.62500000000000011</v>
      </c>
      <c r="S30" s="2">
        <v>0.64133333333333342</v>
      </c>
      <c r="T30" s="2">
        <v>0.60133333333333328</v>
      </c>
      <c r="U30">
        <v>0.6677777777777778</v>
      </c>
      <c r="V30">
        <v>0.62333333333333329</v>
      </c>
      <c r="W30">
        <v>0.64083333333333348</v>
      </c>
      <c r="X30">
        <v>0.66466666666666674</v>
      </c>
      <c r="Y30" s="7">
        <f>SUM(O30:X30)/10</f>
        <v>0.63749444444444447</v>
      </c>
    </row>
    <row r="31" spans="1:26" x14ac:dyDescent="0.65">
      <c r="A31" t="s">
        <v>12</v>
      </c>
      <c r="B31">
        <v>20</v>
      </c>
      <c r="C31">
        <v>73.33</v>
      </c>
      <c r="D31">
        <v>20</v>
      </c>
      <c r="E31">
        <v>40</v>
      </c>
      <c r="F31">
        <v>0</v>
      </c>
      <c r="G31">
        <v>73.33</v>
      </c>
      <c r="H31">
        <v>0</v>
      </c>
      <c r="I31">
        <v>20</v>
      </c>
      <c r="J31">
        <v>40</v>
      </c>
      <c r="K31">
        <v>0</v>
      </c>
      <c r="L31" s="8">
        <f>SUM(B31:K31)/10</f>
        <v>28.665999999999997</v>
      </c>
      <c r="N31" t="s">
        <v>13</v>
      </c>
      <c r="O31">
        <v>0.50700000000000001</v>
      </c>
      <c r="P31" s="2">
        <v>0.62777777777777777</v>
      </c>
      <c r="Q31" s="2">
        <v>0.6166666666666667</v>
      </c>
      <c r="R31" s="2">
        <v>0.59833333333333338</v>
      </c>
      <c r="S31" s="2">
        <v>0.54166666666666663</v>
      </c>
      <c r="T31" s="2">
        <v>0.56866666666666676</v>
      </c>
      <c r="U31">
        <v>0.62199999999999989</v>
      </c>
      <c r="V31">
        <v>0.54600000000000004</v>
      </c>
      <c r="W31">
        <v>0.61333333333333329</v>
      </c>
      <c r="X31">
        <v>0.57750000000000001</v>
      </c>
      <c r="Y31" s="7">
        <f t="shared" ref="Y31:Y37" si="15">SUM(O31:X31)/10</f>
        <v>0.58189444444444438</v>
      </c>
    </row>
    <row r="32" spans="1:26" x14ac:dyDescent="0.65">
      <c r="A32" t="s">
        <v>13</v>
      </c>
      <c r="B32">
        <v>100</v>
      </c>
      <c r="C32">
        <v>0</v>
      </c>
      <c r="D32">
        <v>13.33</v>
      </c>
      <c r="F32">
        <v>0.86667000000000005</v>
      </c>
      <c r="G32">
        <v>20</v>
      </c>
      <c r="H32">
        <v>33.33</v>
      </c>
      <c r="I32">
        <v>60</v>
      </c>
      <c r="J32">
        <v>40</v>
      </c>
      <c r="K32">
        <v>0</v>
      </c>
      <c r="L32" s="8">
        <f t="shared" ref="L32:L38" si="16">SUM(B32:K32)/10</f>
        <v>26.752666999999995</v>
      </c>
      <c r="N32" t="s">
        <v>14</v>
      </c>
      <c r="O32">
        <v>0.53800000000000003</v>
      </c>
      <c r="P32" s="2">
        <v>0.57666666666666677</v>
      </c>
      <c r="Q32" s="2">
        <v>0.57000000000000017</v>
      </c>
      <c r="R32" s="2">
        <v>0.52888888888888885</v>
      </c>
      <c r="S32" s="2">
        <v>0.54066666666666663</v>
      </c>
      <c r="T32" s="2">
        <v>0.54333333333333333</v>
      </c>
      <c r="U32">
        <v>0.54333333333333322</v>
      </c>
      <c r="V32">
        <v>0.47933333333333344</v>
      </c>
      <c r="W32">
        <v>0.53333333333333333</v>
      </c>
      <c r="X32">
        <v>0.53916666666666668</v>
      </c>
      <c r="Y32" s="7">
        <f t="shared" si="15"/>
        <v>0.53927222222222226</v>
      </c>
    </row>
    <row r="33" spans="1:26" x14ac:dyDescent="0.65">
      <c r="A33" t="s">
        <v>14</v>
      </c>
      <c r="B33">
        <v>0</v>
      </c>
      <c r="C33">
        <v>0</v>
      </c>
      <c r="D33">
        <v>0</v>
      </c>
      <c r="E33">
        <v>20</v>
      </c>
      <c r="F33">
        <v>0</v>
      </c>
      <c r="G33">
        <v>13.33</v>
      </c>
      <c r="H33">
        <v>0</v>
      </c>
      <c r="I33">
        <v>20</v>
      </c>
      <c r="J33">
        <v>0</v>
      </c>
      <c r="K33">
        <v>6.67</v>
      </c>
      <c r="L33" s="8">
        <f t="shared" si="16"/>
        <v>6</v>
      </c>
      <c r="N33" t="s">
        <v>15</v>
      </c>
      <c r="O33">
        <v>0.51700000000000002</v>
      </c>
      <c r="P33" s="2">
        <v>0.51866666666666661</v>
      </c>
      <c r="Q33" s="2">
        <v>0.53066666666666673</v>
      </c>
      <c r="R33" s="2">
        <v>0.52666666666666673</v>
      </c>
      <c r="S33" s="2">
        <v>0.52400000000000002</v>
      </c>
      <c r="T33" s="2">
        <v>0.53466666666666662</v>
      </c>
      <c r="U33">
        <v>0.53933333333333333</v>
      </c>
      <c r="V33">
        <v>0.54533333333333334</v>
      </c>
      <c r="W33">
        <v>0.54733333333333334</v>
      </c>
      <c r="X33">
        <v>0.50533333333333341</v>
      </c>
      <c r="Y33" s="7">
        <f t="shared" si="15"/>
        <v>0.52890000000000015</v>
      </c>
    </row>
    <row r="34" spans="1:26" x14ac:dyDescent="0.65">
      <c r="A34" t="s">
        <v>15</v>
      </c>
      <c r="B34">
        <v>33</v>
      </c>
      <c r="C34">
        <v>100</v>
      </c>
      <c r="D34">
        <v>93.33</v>
      </c>
      <c r="E34">
        <v>80</v>
      </c>
      <c r="F34">
        <v>100</v>
      </c>
      <c r="G34">
        <v>60</v>
      </c>
      <c r="H34">
        <v>100</v>
      </c>
      <c r="I34">
        <v>86.67</v>
      </c>
      <c r="J34">
        <v>80</v>
      </c>
      <c r="K34">
        <v>100</v>
      </c>
      <c r="L34" s="8">
        <f t="shared" si="16"/>
        <v>83.299999999999983</v>
      </c>
      <c r="N34" t="s">
        <v>16</v>
      </c>
      <c r="O34">
        <v>0.67300000000000004</v>
      </c>
      <c r="P34" s="2">
        <v>0.66733333333333333</v>
      </c>
      <c r="Q34" s="2">
        <v>0.65133333333333343</v>
      </c>
      <c r="R34" s="2">
        <v>0.69916666666666671</v>
      </c>
      <c r="S34" s="2">
        <v>0.65200000000000002</v>
      </c>
      <c r="T34" s="2">
        <v>0.66533333333333333</v>
      </c>
      <c r="U34">
        <v>0.63733333333333342</v>
      </c>
      <c r="V34">
        <v>0.59266666666666656</v>
      </c>
      <c r="W34">
        <v>0.57466666666666677</v>
      </c>
      <c r="X34">
        <v>0.64333333333333331</v>
      </c>
      <c r="Y34" s="7">
        <f t="shared" si="15"/>
        <v>0.64561666666666662</v>
      </c>
    </row>
    <row r="35" spans="1:26" x14ac:dyDescent="0.65">
      <c r="A35" t="s">
        <v>16</v>
      </c>
      <c r="B35">
        <v>0</v>
      </c>
      <c r="C35">
        <v>13.33</v>
      </c>
      <c r="D35">
        <v>80</v>
      </c>
      <c r="E35">
        <v>26.67</v>
      </c>
      <c r="F35">
        <v>100</v>
      </c>
      <c r="G35">
        <v>0</v>
      </c>
      <c r="H35">
        <v>66.67</v>
      </c>
      <c r="I35">
        <v>100</v>
      </c>
      <c r="J35">
        <v>100</v>
      </c>
      <c r="K35">
        <v>20</v>
      </c>
      <c r="L35" s="8">
        <f t="shared" si="16"/>
        <v>50.667000000000002</v>
      </c>
      <c r="N35" t="s">
        <v>17</v>
      </c>
      <c r="O35">
        <v>0.64700000000000002</v>
      </c>
      <c r="P35" s="2">
        <v>0.64933333333333332</v>
      </c>
      <c r="Q35" s="2">
        <v>0.68399999999999994</v>
      </c>
      <c r="R35" s="2">
        <v>0.65200000000000002</v>
      </c>
      <c r="S35" s="2">
        <v>0.68333333333333324</v>
      </c>
      <c r="T35" s="2">
        <v>0.6326666666666666</v>
      </c>
      <c r="U35">
        <v>0.64733333333333343</v>
      </c>
      <c r="V35">
        <v>0.65666666666666673</v>
      </c>
      <c r="W35">
        <v>0.65133333333333343</v>
      </c>
      <c r="X35">
        <v>0.63400000000000001</v>
      </c>
      <c r="Y35" s="7">
        <f t="shared" si="15"/>
        <v>0.65376666666666661</v>
      </c>
    </row>
    <row r="36" spans="1:26" x14ac:dyDescent="0.65">
      <c r="A36" t="s">
        <v>17</v>
      </c>
      <c r="B36">
        <v>93</v>
      </c>
      <c r="C36">
        <v>100</v>
      </c>
      <c r="D36">
        <v>26.67</v>
      </c>
      <c r="E36">
        <v>93.33</v>
      </c>
      <c r="F36" s="2">
        <v>0.2</v>
      </c>
      <c r="G36">
        <v>100</v>
      </c>
      <c r="H36">
        <v>100</v>
      </c>
      <c r="I36">
        <v>80</v>
      </c>
      <c r="J36">
        <v>60</v>
      </c>
      <c r="K36">
        <v>66.67</v>
      </c>
      <c r="L36" s="8">
        <f t="shared" si="16"/>
        <v>71.986999999999995</v>
      </c>
      <c r="N36" t="s">
        <v>18</v>
      </c>
      <c r="O36">
        <v>0.68899999999999995</v>
      </c>
      <c r="P36" s="2">
        <v>0.48933333333333329</v>
      </c>
      <c r="Q36" s="2">
        <v>0.51666666666666672</v>
      </c>
      <c r="R36" s="2">
        <v>0.50933333333333353</v>
      </c>
      <c r="S36" s="2">
        <v>0.36399999999999999</v>
      </c>
      <c r="T36" s="2">
        <v>0.53533333333333344</v>
      </c>
      <c r="U36">
        <v>0.52399999999999991</v>
      </c>
      <c r="V36">
        <v>0.55200000000000005</v>
      </c>
      <c r="W36">
        <v>0.44933333333333325</v>
      </c>
      <c r="X36">
        <v>0.55466666666666664</v>
      </c>
      <c r="Y36" s="7">
        <f t="shared" si="15"/>
        <v>0.51836666666666675</v>
      </c>
    </row>
    <row r="37" spans="1:26" x14ac:dyDescent="0.65">
      <c r="A37" t="s">
        <v>18</v>
      </c>
      <c r="B37">
        <v>60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 s="8">
        <f t="shared" si="16"/>
        <v>96</v>
      </c>
      <c r="N37" t="s">
        <v>19</v>
      </c>
      <c r="O37">
        <v>0.54500000000000004</v>
      </c>
      <c r="P37" s="2">
        <v>0.57666666666666677</v>
      </c>
      <c r="Q37" s="2">
        <v>0.59599999999999997</v>
      </c>
      <c r="R37" s="2">
        <v>0.55800000000000005</v>
      </c>
      <c r="S37" s="2">
        <v>0.51466666666666683</v>
      </c>
      <c r="T37" s="2">
        <v>0.50666666666666671</v>
      </c>
      <c r="U37">
        <v>0.56466666666666676</v>
      </c>
      <c r="V37">
        <v>0.55333333333333323</v>
      </c>
      <c r="W37">
        <v>0.60499999999999987</v>
      </c>
      <c r="X37">
        <v>0.54199999999999993</v>
      </c>
      <c r="Y37" s="7">
        <f t="shared" si="15"/>
        <v>0.55620000000000003</v>
      </c>
    </row>
    <row r="38" spans="1:26" x14ac:dyDescent="0.65">
      <c r="A38" t="s">
        <v>19</v>
      </c>
      <c r="B38">
        <v>67</v>
      </c>
      <c r="C38">
        <v>0</v>
      </c>
      <c r="D38">
        <v>40</v>
      </c>
      <c r="E38">
        <v>40</v>
      </c>
      <c r="F38">
        <v>0</v>
      </c>
      <c r="G38">
        <v>40</v>
      </c>
      <c r="H38">
        <v>20</v>
      </c>
      <c r="I38">
        <v>53.33</v>
      </c>
      <c r="J38">
        <v>0</v>
      </c>
      <c r="K38">
        <v>46.67</v>
      </c>
      <c r="L38" s="8">
        <f t="shared" si="16"/>
        <v>30.7</v>
      </c>
      <c r="N38" t="s">
        <v>20</v>
      </c>
      <c r="O38">
        <f>SUM(O29:O37)/9</f>
        <v>0.60388888888888881</v>
      </c>
      <c r="P38">
        <f t="shared" ref="P38" si="17">SUM(P29:P37)/9</f>
        <v>0.60419753086419759</v>
      </c>
      <c r="Q38">
        <f t="shared" ref="Q38" si="18">SUM(Q29:Q37)/9</f>
        <v>0.60777777777777786</v>
      </c>
      <c r="R38">
        <f t="shared" ref="R38" si="19">SUM(R29:R37)/9</f>
        <v>0.60022839506172831</v>
      </c>
      <c r="S38">
        <f t="shared" ref="S38" si="20">SUM(S29:S37)/9</f>
        <v>0.56211111111111112</v>
      </c>
      <c r="T38">
        <f t="shared" ref="T38" si="21">SUM(T29:T37)/9</f>
        <v>0.58066666666666666</v>
      </c>
      <c r="U38">
        <f t="shared" ref="U38" si="22">SUM(U29:U37)/9</f>
        <v>0.59471604938271605</v>
      </c>
      <c r="V38">
        <f t="shared" ref="V38" si="23">SUM(V29:V37)/9</f>
        <v>0.57718518518518513</v>
      </c>
      <c r="W38">
        <f t="shared" ref="W38" si="24">SUM(W29:W37)/9</f>
        <v>0.57872222222222225</v>
      </c>
      <c r="X38">
        <f t="shared" ref="X38:Y38" si="25">SUM(X29:X37)/9</f>
        <v>0.57340740740740748</v>
      </c>
      <c r="Y38" s="7">
        <f t="shared" si="25"/>
        <v>0.5882901234567901</v>
      </c>
      <c r="Z38">
        <f>_xlfn.STDEV.S(Y29:Y37)</f>
        <v>5.4649350928691658E-2</v>
      </c>
    </row>
    <row r="39" spans="1:26" x14ac:dyDescent="0.65">
      <c r="A39" t="s">
        <v>20</v>
      </c>
      <c r="B39">
        <f>SUM(B30:B38)/9</f>
        <v>52.555555555555557</v>
      </c>
      <c r="C39">
        <f t="shared" ref="C39" si="26">SUM(C30:C38)/9</f>
        <v>53.332222222222214</v>
      </c>
      <c r="D39">
        <f t="shared" ref="D39" si="27">SUM(D30:D38)/9</f>
        <v>52.592222222222226</v>
      </c>
      <c r="E39">
        <f t="shared" ref="E39" si="28">SUM(E30:E38)/9</f>
        <v>55.555555555555557</v>
      </c>
      <c r="F39">
        <f t="shared" ref="F39" si="29">SUM(F30:F38)/9</f>
        <v>42.340741111111107</v>
      </c>
      <c r="G39">
        <f t="shared" ref="G39" si="30">SUM(G30:G38)/9</f>
        <v>56.295555555555552</v>
      </c>
      <c r="H39">
        <f t="shared" ref="H39" si="31">SUM(H30:H38)/9</f>
        <v>57.777777777777779</v>
      </c>
      <c r="I39">
        <f t="shared" ref="I39" si="32">SUM(I30:I38)/9</f>
        <v>68.8888888888889</v>
      </c>
      <c r="J39">
        <f>SUM(J30:J38)/9</f>
        <v>57.777777777777779</v>
      </c>
      <c r="K39">
        <f t="shared" ref="K39" si="33">SUM(K30:K38)/9</f>
        <v>48.148888888888891</v>
      </c>
      <c r="L39" s="8">
        <f>SUM(B39:K39)/10</f>
        <v>54.526518555555562</v>
      </c>
      <c r="M39">
        <f>_xlfn.STDEV.S(L30:L38)</f>
        <v>33.552463265587512</v>
      </c>
      <c r="N39" s="2"/>
    </row>
    <row r="40" spans="1:26" x14ac:dyDescent="0.65">
      <c r="N40" s="2"/>
    </row>
    <row r="42" spans="1:26" x14ac:dyDescent="0.65">
      <c r="A42" t="s">
        <v>23</v>
      </c>
      <c r="B42" s="1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N42" t="s">
        <v>28</v>
      </c>
      <c r="O42" s="1" t="s">
        <v>1</v>
      </c>
      <c r="P42" t="s">
        <v>2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8</v>
      </c>
      <c r="W42" t="s">
        <v>9</v>
      </c>
      <c r="X42" t="s">
        <v>10</v>
      </c>
    </row>
    <row r="43" spans="1:26" x14ac:dyDescent="0.65">
      <c r="A43" t="s">
        <v>11</v>
      </c>
      <c r="B43">
        <v>100</v>
      </c>
      <c r="C43" s="2">
        <v>100</v>
      </c>
      <c r="D43" s="2">
        <v>80</v>
      </c>
      <c r="E43" s="2">
        <v>20</v>
      </c>
      <c r="F43" s="2">
        <v>100</v>
      </c>
      <c r="G43" s="2">
        <v>100</v>
      </c>
      <c r="H43" s="2">
        <v>100</v>
      </c>
      <c r="I43" s="2">
        <v>100</v>
      </c>
      <c r="J43" s="2">
        <v>80</v>
      </c>
      <c r="K43" s="2">
        <v>100</v>
      </c>
      <c r="L43" s="6">
        <f>SUM(B43:K43)/10</f>
        <v>88</v>
      </c>
      <c r="N43" t="s">
        <v>11</v>
      </c>
      <c r="O43">
        <v>0.60199999999999998</v>
      </c>
      <c r="P43" s="2">
        <v>0.65200000000000002</v>
      </c>
      <c r="Q43" s="2">
        <v>0.63500000000000012</v>
      </c>
      <c r="R43" s="2">
        <v>0.65</v>
      </c>
      <c r="S43" s="2">
        <v>0.56799999999999995</v>
      </c>
      <c r="T43">
        <v>0.58799999999999997</v>
      </c>
      <c r="U43">
        <v>0.59799999999999998</v>
      </c>
      <c r="V43">
        <v>0.6160000000000001</v>
      </c>
      <c r="W43">
        <v>0.6150000000000001</v>
      </c>
      <c r="X43">
        <v>0.55199999999999994</v>
      </c>
      <c r="Y43">
        <f>SUM(O43:X43)/10</f>
        <v>0.60760000000000003</v>
      </c>
    </row>
    <row r="44" spans="1:26" x14ac:dyDescent="0.65">
      <c r="A44" t="s">
        <v>12</v>
      </c>
      <c r="B44">
        <v>80</v>
      </c>
      <c r="C44" s="2">
        <v>100</v>
      </c>
      <c r="D44" s="2">
        <v>100</v>
      </c>
      <c r="E44" s="2">
        <v>100</v>
      </c>
      <c r="F44" s="2">
        <v>100</v>
      </c>
      <c r="G44" s="2">
        <v>100</v>
      </c>
      <c r="H44" s="2">
        <v>100</v>
      </c>
      <c r="I44" s="2">
        <v>80</v>
      </c>
      <c r="J44" s="2">
        <v>100</v>
      </c>
      <c r="K44" s="2">
        <v>100</v>
      </c>
      <c r="L44" s="6">
        <f>SUM(B44:K44)/10</f>
        <v>96</v>
      </c>
      <c r="N44" t="s">
        <v>12</v>
      </c>
      <c r="O44">
        <v>0.55000000000000004</v>
      </c>
      <c r="P44" s="2">
        <v>0.48599999999999993</v>
      </c>
      <c r="Q44" s="2">
        <v>0.51800000000000013</v>
      </c>
      <c r="R44" s="2">
        <v>0.53</v>
      </c>
      <c r="S44" s="2">
        <v>0.53200000000000003</v>
      </c>
      <c r="T44">
        <v>0.49200000000000005</v>
      </c>
      <c r="U44">
        <v>0.55400000000000016</v>
      </c>
      <c r="V44">
        <v>0.55000000000000004</v>
      </c>
      <c r="W44">
        <v>0.54200000000000004</v>
      </c>
      <c r="X44">
        <v>0.55800000000000005</v>
      </c>
      <c r="Y44">
        <f>SUM(O44:X44)/10</f>
        <v>0.53120000000000001</v>
      </c>
    </row>
    <row r="45" spans="1:26" x14ac:dyDescent="0.65">
      <c r="A45" t="s">
        <v>13</v>
      </c>
      <c r="B45">
        <v>100</v>
      </c>
      <c r="C45" s="2">
        <v>100</v>
      </c>
      <c r="D45" s="2">
        <v>100</v>
      </c>
      <c r="E45" s="2">
        <v>100</v>
      </c>
      <c r="F45" s="2">
        <v>100</v>
      </c>
      <c r="G45" s="2">
        <v>100</v>
      </c>
      <c r="H45" s="2">
        <v>100</v>
      </c>
      <c r="I45" s="2">
        <v>100</v>
      </c>
      <c r="J45" s="2">
        <v>100</v>
      </c>
      <c r="K45" s="2">
        <v>100</v>
      </c>
      <c r="L45" s="6">
        <f t="shared" ref="L45:L51" si="34">SUM(B45:K45)/10</f>
        <v>100</v>
      </c>
      <c r="N45" t="s">
        <v>13</v>
      </c>
      <c r="O45">
        <v>0.4</v>
      </c>
      <c r="P45" s="2">
        <v>0.44400000000000001</v>
      </c>
      <c r="Q45" s="2">
        <v>0.44800000000000006</v>
      </c>
      <c r="R45" s="2">
        <v>0.45999999999999996</v>
      </c>
      <c r="S45" s="2">
        <v>0.43400000000000011</v>
      </c>
      <c r="T45">
        <v>0.43399999999999994</v>
      </c>
      <c r="U45">
        <v>0.4840000000000001</v>
      </c>
      <c r="V45">
        <v>0.39200000000000002</v>
      </c>
      <c r="W45">
        <v>0.44800000000000001</v>
      </c>
      <c r="X45">
        <v>0.41199999999999998</v>
      </c>
      <c r="Y45">
        <f>SUM(O45:X45)/10</f>
        <v>0.43559999999999999</v>
      </c>
    </row>
    <row r="46" spans="1:26" x14ac:dyDescent="0.65">
      <c r="A46" t="s">
        <v>14</v>
      </c>
      <c r="B46">
        <v>80</v>
      </c>
      <c r="C46" s="2">
        <v>100</v>
      </c>
      <c r="D46" s="2">
        <v>100</v>
      </c>
      <c r="E46" s="2">
        <v>80</v>
      </c>
      <c r="F46" s="2">
        <v>100</v>
      </c>
      <c r="G46" s="2">
        <v>100</v>
      </c>
      <c r="H46" s="2">
        <v>100</v>
      </c>
      <c r="I46" s="2">
        <v>100</v>
      </c>
      <c r="J46" s="2">
        <v>80</v>
      </c>
      <c r="K46" s="2">
        <v>100</v>
      </c>
      <c r="L46" s="6">
        <f t="shared" si="34"/>
        <v>94</v>
      </c>
      <c r="N46" t="s">
        <v>14</v>
      </c>
      <c r="O46">
        <v>0.41799999999999998</v>
      </c>
      <c r="P46" s="2">
        <v>0.47399999999999998</v>
      </c>
      <c r="Q46" s="2">
        <v>0.48000000000000009</v>
      </c>
      <c r="R46" s="2">
        <v>0.47249999999999992</v>
      </c>
      <c r="S46" s="2">
        <v>0.46</v>
      </c>
      <c r="T46">
        <v>0.45</v>
      </c>
      <c r="U46">
        <v>0.44200000000000012</v>
      </c>
      <c r="V46">
        <v>0.44800000000000006</v>
      </c>
      <c r="W46">
        <v>0.44500000000000006</v>
      </c>
      <c r="X46">
        <v>0.44400000000000012</v>
      </c>
      <c r="Y46">
        <f t="shared" ref="Y46:Y51" si="35">SUM(O46:X46)/10</f>
        <v>0.45335000000000003</v>
      </c>
    </row>
    <row r="47" spans="1:26" x14ac:dyDescent="0.65">
      <c r="A47" t="s">
        <v>15</v>
      </c>
      <c r="B47">
        <v>100</v>
      </c>
      <c r="C47" s="2">
        <v>100</v>
      </c>
      <c r="D47" s="2">
        <v>100</v>
      </c>
      <c r="E47" s="2">
        <v>100</v>
      </c>
      <c r="F47" s="2">
        <v>100</v>
      </c>
      <c r="G47" s="2">
        <v>100</v>
      </c>
      <c r="H47" s="2">
        <v>100</v>
      </c>
      <c r="I47" s="2">
        <v>100</v>
      </c>
      <c r="J47" s="2">
        <v>100</v>
      </c>
      <c r="K47" s="2">
        <v>100</v>
      </c>
      <c r="L47" s="6">
        <f t="shared" si="34"/>
        <v>100</v>
      </c>
      <c r="N47" t="s">
        <v>15</v>
      </c>
      <c r="O47">
        <v>0.45200000000000001</v>
      </c>
      <c r="P47" s="2">
        <v>0.45999999999999996</v>
      </c>
      <c r="Q47" s="2">
        <v>0.48800000000000004</v>
      </c>
      <c r="R47" s="2">
        <v>0.47999999999999993</v>
      </c>
      <c r="S47" s="2">
        <v>0.48600000000000004</v>
      </c>
      <c r="T47">
        <v>0.46399999999999991</v>
      </c>
      <c r="U47">
        <v>0.47599999999999998</v>
      </c>
      <c r="V47">
        <v>0.46799999999999997</v>
      </c>
      <c r="W47">
        <v>0.46400000000000002</v>
      </c>
      <c r="X47">
        <v>0.46399999999999991</v>
      </c>
      <c r="Y47">
        <f t="shared" si="35"/>
        <v>0.47020000000000001</v>
      </c>
    </row>
    <row r="48" spans="1:26" x14ac:dyDescent="0.65">
      <c r="A48" t="s">
        <v>16</v>
      </c>
      <c r="B48">
        <v>100</v>
      </c>
      <c r="C48" s="2">
        <v>100</v>
      </c>
      <c r="D48" s="2">
        <v>100</v>
      </c>
      <c r="E48" s="2">
        <v>80</v>
      </c>
      <c r="F48" s="2">
        <v>100</v>
      </c>
      <c r="G48" s="2">
        <v>100</v>
      </c>
      <c r="H48" s="2">
        <v>100</v>
      </c>
      <c r="I48" s="2">
        <v>100</v>
      </c>
      <c r="J48" s="2">
        <v>100</v>
      </c>
      <c r="K48" s="2">
        <v>100</v>
      </c>
      <c r="L48" s="6">
        <f t="shared" si="34"/>
        <v>98</v>
      </c>
      <c r="N48" t="s">
        <v>16</v>
      </c>
      <c r="O48">
        <v>0.58399999999999996</v>
      </c>
      <c r="P48" s="2">
        <v>0.57599999999999996</v>
      </c>
      <c r="Q48" s="2">
        <v>0.57400000000000007</v>
      </c>
      <c r="R48" s="2">
        <v>0.6</v>
      </c>
      <c r="S48" s="2">
        <v>0.59000000000000008</v>
      </c>
      <c r="T48">
        <v>0.58000000000000007</v>
      </c>
      <c r="U48">
        <v>0.55400000000000005</v>
      </c>
      <c r="V48">
        <v>0.5</v>
      </c>
      <c r="W48">
        <v>0.47400000000000014</v>
      </c>
      <c r="X48">
        <v>0.53400000000000014</v>
      </c>
      <c r="Y48">
        <f t="shared" si="35"/>
        <v>0.55660000000000009</v>
      </c>
    </row>
    <row r="49" spans="1:26" x14ac:dyDescent="0.65">
      <c r="A49" t="s">
        <v>17</v>
      </c>
      <c r="B49">
        <v>100</v>
      </c>
      <c r="C49" s="2">
        <v>100</v>
      </c>
      <c r="D49" s="2">
        <v>100</v>
      </c>
      <c r="E49" s="2">
        <v>100</v>
      </c>
      <c r="F49" s="2">
        <v>100</v>
      </c>
      <c r="G49" s="2">
        <v>100</v>
      </c>
      <c r="H49" s="2">
        <v>100</v>
      </c>
      <c r="I49" s="2">
        <v>100</v>
      </c>
      <c r="J49" s="2">
        <v>80</v>
      </c>
      <c r="K49" s="2">
        <v>80</v>
      </c>
      <c r="L49" s="6">
        <f t="shared" si="34"/>
        <v>96</v>
      </c>
      <c r="N49" t="s">
        <v>17</v>
      </c>
      <c r="O49">
        <v>0.57799999999999996</v>
      </c>
      <c r="P49" s="2">
        <v>0.58399999999999996</v>
      </c>
      <c r="Q49" s="2">
        <v>0.59600000000000009</v>
      </c>
      <c r="R49" s="2">
        <v>0.56600000000000006</v>
      </c>
      <c r="S49" s="2">
        <v>0.57999999999999996</v>
      </c>
      <c r="T49">
        <v>0.57799999999999996</v>
      </c>
      <c r="U49">
        <v>0.57399999999999995</v>
      </c>
      <c r="V49">
        <v>0.57600000000000018</v>
      </c>
      <c r="W49">
        <v>0.57250000000000012</v>
      </c>
      <c r="X49">
        <v>0.57250000000000012</v>
      </c>
      <c r="Y49">
        <f t="shared" si="35"/>
        <v>0.57769999999999999</v>
      </c>
    </row>
    <row r="50" spans="1:26" x14ac:dyDescent="0.65">
      <c r="A50" t="s">
        <v>18</v>
      </c>
      <c r="B50">
        <v>100</v>
      </c>
      <c r="C50" s="2">
        <v>100</v>
      </c>
      <c r="D50" s="2">
        <v>100</v>
      </c>
      <c r="E50" s="2">
        <v>100</v>
      </c>
      <c r="F50" s="2">
        <v>100</v>
      </c>
      <c r="G50" s="2">
        <v>100</v>
      </c>
      <c r="H50" s="2">
        <v>100</v>
      </c>
      <c r="I50" s="2">
        <v>100</v>
      </c>
      <c r="J50" s="2">
        <v>80</v>
      </c>
      <c r="K50" s="2">
        <v>100</v>
      </c>
      <c r="L50" s="6">
        <f t="shared" si="34"/>
        <v>98</v>
      </c>
      <c r="N50" t="s">
        <v>18</v>
      </c>
      <c r="O50">
        <v>0.498</v>
      </c>
      <c r="P50" s="2">
        <v>0.49600000000000005</v>
      </c>
      <c r="Q50" s="2">
        <v>0.43800000000000006</v>
      </c>
      <c r="R50" s="2">
        <v>0.504</v>
      </c>
      <c r="S50" s="2">
        <v>0.28000000000000003</v>
      </c>
      <c r="T50">
        <v>0.45999999999999996</v>
      </c>
      <c r="U50">
        <v>0.45</v>
      </c>
      <c r="V50">
        <v>0.48399999999999999</v>
      </c>
      <c r="W50">
        <v>0.39000000000000007</v>
      </c>
      <c r="X50">
        <v>0.47399999999999998</v>
      </c>
      <c r="Y50">
        <f t="shared" si="35"/>
        <v>0.44740000000000002</v>
      </c>
    </row>
    <row r="51" spans="1:26" x14ac:dyDescent="0.65">
      <c r="A51" t="s">
        <v>19</v>
      </c>
      <c r="B51">
        <v>100</v>
      </c>
      <c r="C51" s="2">
        <v>100</v>
      </c>
      <c r="D51" s="2">
        <v>80</v>
      </c>
      <c r="E51" s="2">
        <v>100</v>
      </c>
      <c r="F51" s="2">
        <v>80</v>
      </c>
      <c r="G51" s="2">
        <v>100</v>
      </c>
      <c r="H51" s="2">
        <v>100</v>
      </c>
      <c r="I51" s="2">
        <v>100</v>
      </c>
      <c r="J51" s="2">
        <v>80</v>
      </c>
      <c r="K51" s="2">
        <v>100</v>
      </c>
      <c r="L51" s="6">
        <f t="shared" si="34"/>
        <v>94</v>
      </c>
      <c r="N51" t="s">
        <v>19</v>
      </c>
      <c r="O51">
        <v>0.54</v>
      </c>
      <c r="P51" s="2">
        <v>0.41600000000000004</v>
      </c>
      <c r="Q51" s="2">
        <v>0.53</v>
      </c>
      <c r="R51" s="2">
        <v>0.45399999999999996</v>
      </c>
      <c r="S51" s="2">
        <v>0.48199999999999998</v>
      </c>
      <c r="T51">
        <v>0.39400000000000002</v>
      </c>
      <c r="U51">
        <v>0.43</v>
      </c>
      <c r="V51">
        <v>0.44200000000000006</v>
      </c>
      <c r="W51">
        <v>0.51250000000000007</v>
      </c>
      <c r="X51">
        <v>0.43</v>
      </c>
      <c r="Y51">
        <f t="shared" si="35"/>
        <v>0.46305000000000007</v>
      </c>
    </row>
    <row r="52" spans="1:26" x14ac:dyDescent="0.65">
      <c r="A52" t="s">
        <v>20</v>
      </c>
      <c r="B52">
        <f>SUM(B43:B51)/9</f>
        <v>95.555555555555557</v>
      </c>
      <c r="C52">
        <f>SUM(C43:C51)/9</f>
        <v>100</v>
      </c>
      <c r="D52">
        <f t="shared" ref="D52:K52" si="36">SUM(D43:D51)/9</f>
        <v>95.555555555555557</v>
      </c>
      <c r="E52">
        <f t="shared" si="36"/>
        <v>86.666666666666671</v>
      </c>
      <c r="F52">
        <f t="shared" si="36"/>
        <v>97.777777777777771</v>
      </c>
      <c r="G52">
        <f t="shared" si="36"/>
        <v>100</v>
      </c>
      <c r="H52">
        <f t="shared" si="36"/>
        <v>100</v>
      </c>
      <c r="I52">
        <f t="shared" si="36"/>
        <v>97.777777777777771</v>
      </c>
      <c r="J52">
        <f t="shared" si="36"/>
        <v>88.888888888888886</v>
      </c>
      <c r="K52">
        <f t="shared" si="36"/>
        <v>97.777777777777771</v>
      </c>
      <c r="L52" s="6">
        <f>SUM(B52:K52)/10</f>
        <v>96</v>
      </c>
      <c r="M52">
        <f>_xlfn.STDEV.S(L43:L51)</f>
        <v>3.7416573867739413</v>
      </c>
      <c r="N52" t="s">
        <v>20</v>
      </c>
      <c r="O52">
        <v>0.51400000000000001</v>
      </c>
      <c r="P52" s="2">
        <v>0.50977777777777789</v>
      </c>
      <c r="Q52" s="2">
        <v>0.52300000000000013</v>
      </c>
      <c r="R52" s="2">
        <v>0.5240555555555555</v>
      </c>
      <c r="S52" s="2">
        <v>0.49555555555555564</v>
      </c>
      <c r="T52">
        <v>0.49333333333333329</v>
      </c>
      <c r="U52">
        <v>0.50688888888888894</v>
      </c>
      <c r="V52">
        <v>0.4973333333333334</v>
      </c>
      <c r="W52">
        <v>0.49588888888888888</v>
      </c>
      <c r="X52" s="2">
        <v>0.49338888888888888</v>
      </c>
      <c r="Y52">
        <f>SUM(O52:X52)/10</f>
        <v>0.50532222222222223</v>
      </c>
      <c r="Z52">
        <f>_xlfn.STDEV.S(Y43:Y51)</f>
        <v>6.4161073890464729E-2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m-takamisawa@keio.jp</dc:creator>
  <cp:lastModifiedBy>m-takamisawa@keio.jp</cp:lastModifiedBy>
  <dcterms:created xsi:type="dcterms:W3CDTF">2026-01-27T13:26:25Z</dcterms:created>
  <dcterms:modified xsi:type="dcterms:W3CDTF">2026-01-31T17:32:59Z</dcterms:modified>
</cp:coreProperties>
</file>