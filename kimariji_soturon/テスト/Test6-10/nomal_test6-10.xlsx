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6-10\"/>
    </mc:Choice>
  </mc:AlternateContent>
  <xr:revisionPtr revIDLastSave="0" documentId="13_ncr:1_{13B617A6-00E5-42C7-90B8-E1A43EC3E008}" xr6:coauthVersionLast="47" xr6:coauthVersionMax="47" xr10:uidLastSave="{00000000-0000-0000-0000-000000000000}"/>
  <bookViews>
    <workbookView xWindow="20010" yWindow="-20985" windowWidth="16455" windowHeight="12885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" i="1" l="1"/>
  <c r="T28" i="1"/>
  <c r="U10" i="1"/>
  <c r="T10" i="1"/>
  <c r="M30" i="1"/>
  <c r="M28" i="1"/>
  <c r="M10" i="1"/>
  <c r="L10" i="1"/>
  <c r="L28" i="2"/>
  <c r="L25" i="2"/>
  <c r="L22" i="2"/>
  <c r="L19" i="2"/>
  <c r="L16" i="2"/>
  <c r="L13" i="2"/>
  <c r="L10" i="2"/>
  <c r="L4" i="2"/>
  <c r="L7" i="2"/>
  <c r="L4" i="1"/>
  <c r="L28" i="1"/>
  <c r="L25" i="1"/>
  <c r="L22" i="1"/>
  <c r="L19" i="1"/>
  <c r="L16" i="1"/>
  <c r="L13" i="1"/>
  <c r="L7" i="1"/>
  <c r="L30" i="1" l="1"/>
</calcChain>
</file>

<file path=xl/sharedStrings.xml><?xml version="1.0" encoding="utf-8"?>
<sst xmlns="http://schemas.openxmlformats.org/spreadsheetml/2006/main" count="71" uniqueCount="23">
  <si>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</si>
  <si>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</si>
  <si>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</si>
  <si>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</si>
  <si>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</si>
  <si>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</si>
  <si>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</si>
  <si>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</si>
  <si>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</si>
  <si>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</si>
  <si>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</t>
  </si>
  <si>
    <t>data2</t>
  </si>
  <si>
    <t>data3</t>
  </si>
  <si>
    <t>data4</t>
  </si>
  <si>
    <t>data5</t>
  </si>
  <si>
    <t>Var6</t>
  </si>
  <si>
    <t>Var7</t>
  </si>
  <si>
    <t>Var8</t>
  </si>
  <si>
    <t>Var9</t>
  </si>
  <si>
    <t>Var10</t>
  </si>
  <si>
    <t>予測札番号</t>
  </si>
  <si>
    <t>手動</t>
    <rPh sb="0" eb="2">
      <t>シュドウ</t>
    </rPh>
    <phoneticPr fontId="1"/>
  </si>
  <si>
    <t>一致のみ</t>
    <rPh sb="0" eb="2">
      <t>イッチ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</si>
</sst>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opLeftCell="C13" zoomScale="88" workbookViewId="0">
      <selection activeCell="M30" sqref="M30"/>
    </sheetView>
  </sheetViews>
  <sheetFormatPr defaultRowHeight="14.6" x14ac:dyDescent="0.4"/>
  <cols>
    <col min="1" max="1" width="17.53515625" customWidth="1"/>
    <col min="2" max="6" width="6.07421875" customWidth="1"/>
    <col min="7" max="10" width="5.23046875" customWidth="1"/>
    <col min="11" max="11" width="6.23046875" customWidth="1"/>
  </cols>
  <sheetData>
    <row r="1" spans="1:21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M1" s="1" t="s">
        <v>22</v>
      </c>
      <c r="N1" s="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21" x14ac:dyDescent="0.4">
      <c r="A2" t="s">
        <v>1</v>
      </c>
      <c r="G2">
        <v>0.73000000000000009</v>
      </c>
      <c r="H2">
        <v>0.73000000000000009</v>
      </c>
      <c r="I2">
        <v>0.73000000000000009</v>
      </c>
      <c r="J2">
        <v>0.71000000000000008</v>
      </c>
      <c r="K2">
        <v>0.69000000000000006</v>
      </c>
      <c r="N2" t="s">
        <v>1</v>
      </c>
    </row>
    <row r="3" spans="1:21" x14ac:dyDescent="0.4">
      <c r="G3">
        <v>0.72000000000000008</v>
      </c>
      <c r="H3">
        <v>0.73000000000000009</v>
      </c>
      <c r="I3">
        <v>0.72000000000000008</v>
      </c>
      <c r="J3">
        <v>0.71000000000000008</v>
      </c>
      <c r="K3">
        <v>0.69000000000000006</v>
      </c>
    </row>
    <row r="4" spans="1:21" x14ac:dyDescent="0.4">
      <c r="G4">
        <v>0.72000000000000008</v>
      </c>
      <c r="H4">
        <v>0.72000000000000008</v>
      </c>
      <c r="I4">
        <v>0.72000000000000008</v>
      </c>
      <c r="J4">
        <v>0.71000000000000008</v>
      </c>
      <c r="K4">
        <v>0.68</v>
      </c>
      <c r="L4">
        <f>SUM(G2:K4)/15</f>
        <v>0.71400000000000019</v>
      </c>
      <c r="M4">
        <v>0.71400000000000019</v>
      </c>
    </row>
    <row r="5" spans="1:21" x14ac:dyDescent="0.4">
      <c r="A5" t="s">
        <v>2</v>
      </c>
      <c r="G5">
        <v>0.66</v>
      </c>
      <c r="H5">
        <v>0.62</v>
      </c>
      <c r="I5">
        <v>0.59000000000000008</v>
      </c>
      <c r="J5">
        <v>0.62</v>
      </c>
      <c r="K5">
        <v>0.63</v>
      </c>
      <c r="N5" t="s">
        <v>2</v>
      </c>
    </row>
    <row r="6" spans="1:21" x14ac:dyDescent="0.4">
      <c r="G6">
        <v>0.66</v>
      </c>
      <c r="H6">
        <v>0.62</v>
      </c>
      <c r="I6">
        <v>0.59000000000000008</v>
      </c>
      <c r="J6">
        <v>0.57000000000000006</v>
      </c>
      <c r="K6">
        <v>0.62</v>
      </c>
    </row>
    <row r="7" spans="1:21" x14ac:dyDescent="0.4">
      <c r="G7">
        <v>0.67</v>
      </c>
      <c r="H7">
        <v>0.61</v>
      </c>
      <c r="I7">
        <v>0.57000000000000006</v>
      </c>
      <c r="J7">
        <v>0.62</v>
      </c>
      <c r="K7">
        <v>0.62</v>
      </c>
      <c r="L7">
        <f>SUM(G5:K7)/15</f>
        <v>0.61799999999999999</v>
      </c>
      <c r="M7">
        <v>0.61799999999999999</v>
      </c>
    </row>
    <row r="8" spans="1:21" x14ac:dyDescent="0.4">
      <c r="A8" t="s">
        <v>3</v>
      </c>
      <c r="G8">
        <v>0.61</v>
      </c>
      <c r="H8" s="2">
        <v>0.59000000000000008</v>
      </c>
      <c r="I8">
        <v>0.62</v>
      </c>
      <c r="J8" s="2">
        <v>0.54</v>
      </c>
      <c r="K8">
        <v>0.65</v>
      </c>
      <c r="N8" t="s">
        <v>3</v>
      </c>
      <c r="P8">
        <v>0.64</v>
      </c>
      <c r="R8">
        <v>0.6</v>
      </c>
    </row>
    <row r="9" spans="1:21" x14ac:dyDescent="0.4">
      <c r="G9">
        <v>0.62</v>
      </c>
      <c r="H9" s="2">
        <v>0.56000000000000005</v>
      </c>
      <c r="I9">
        <v>0.62</v>
      </c>
      <c r="J9" s="2">
        <v>0.52</v>
      </c>
      <c r="K9">
        <v>0.64</v>
      </c>
      <c r="P9">
        <v>0.64</v>
      </c>
      <c r="R9">
        <v>0.62</v>
      </c>
    </row>
    <row r="10" spans="1:21" x14ac:dyDescent="0.4">
      <c r="G10">
        <v>0.62</v>
      </c>
      <c r="H10" s="2">
        <v>0.57000000000000006</v>
      </c>
      <c r="I10">
        <v>0.62</v>
      </c>
      <c r="J10" s="2">
        <v>0.67</v>
      </c>
      <c r="K10">
        <v>0.65</v>
      </c>
      <c r="L10">
        <f>SUM(G8:K10)/15</f>
        <v>0.6066666666666668</v>
      </c>
      <c r="M10">
        <f>(SUM(G8:K10)-SUM(H8:H10)-SUM(J8:J10))/9</f>
        <v>0.62777777777777777</v>
      </c>
      <c r="P10">
        <v>0.64</v>
      </c>
      <c r="R10">
        <v>0.61</v>
      </c>
      <c r="T10">
        <f>SUM(P8:R10)/6</f>
        <v>0.625</v>
      </c>
      <c r="U10">
        <f>(M10+T10)/2</f>
        <v>0.62638888888888888</v>
      </c>
    </row>
    <row r="11" spans="1:21" x14ac:dyDescent="0.4">
      <c r="A11" t="s">
        <v>4</v>
      </c>
      <c r="G11">
        <v>0.61</v>
      </c>
      <c r="H11">
        <v>0.60000000000000009</v>
      </c>
      <c r="I11">
        <v>0.58000000000000007</v>
      </c>
      <c r="J11">
        <v>0.56000000000000005</v>
      </c>
      <c r="K11">
        <v>0.54</v>
      </c>
      <c r="N11" t="s">
        <v>4</v>
      </c>
    </row>
    <row r="12" spans="1:21" x14ac:dyDescent="0.4">
      <c r="G12">
        <v>0.60000000000000009</v>
      </c>
      <c r="H12">
        <v>0.60000000000000009</v>
      </c>
      <c r="I12">
        <v>0.58000000000000007</v>
      </c>
      <c r="J12">
        <v>0.56000000000000005</v>
      </c>
      <c r="K12">
        <v>0.54</v>
      </c>
    </row>
    <row r="13" spans="1:21" x14ac:dyDescent="0.4">
      <c r="G13">
        <v>0.60000000000000009</v>
      </c>
      <c r="H13">
        <v>0.60000000000000009</v>
      </c>
      <c r="I13">
        <v>0.58000000000000007</v>
      </c>
      <c r="J13">
        <v>0.56000000000000005</v>
      </c>
      <c r="K13">
        <v>0.54</v>
      </c>
      <c r="L13">
        <f>SUM(G11:K13)/15</f>
        <v>0.57666666666666677</v>
      </c>
      <c r="M13">
        <v>0.57666666666666677</v>
      </c>
    </row>
    <row r="14" spans="1:21" x14ac:dyDescent="0.4">
      <c r="A14" t="s">
        <v>5</v>
      </c>
      <c r="G14">
        <v>0.54</v>
      </c>
      <c r="H14">
        <v>0.52</v>
      </c>
      <c r="I14">
        <v>0.54</v>
      </c>
      <c r="J14">
        <v>0.51</v>
      </c>
      <c r="K14">
        <v>0.49</v>
      </c>
      <c r="N14" t="s">
        <v>5</v>
      </c>
    </row>
    <row r="15" spans="1:21" x14ac:dyDescent="0.4">
      <c r="G15">
        <v>0.55000000000000004</v>
      </c>
      <c r="H15">
        <v>0.52</v>
      </c>
      <c r="I15">
        <v>0.53</v>
      </c>
      <c r="J15">
        <v>0.49</v>
      </c>
      <c r="K15">
        <v>0.48</v>
      </c>
    </row>
    <row r="16" spans="1:21" x14ac:dyDescent="0.4">
      <c r="G16">
        <v>0.55000000000000004</v>
      </c>
      <c r="H16">
        <v>0.53</v>
      </c>
      <c r="I16">
        <v>0.52</v>
      </c>
      <c r="J16">
        <v>0.52</v>
      </c>
      <c r="K16">
        <v>0.49</v>
      </c>
      <c r="L16">
        <f>SUM(G14:K16)/15</f>
        <v>0.51866666666666661</v>
      </c>
      <c r="M16">
        <v>0.51866666666666661</v>
      </c>
    </row>
    <row r="17" spans="1:21" x14ac:dyDescent="0.4">
      <c r="A17" t="s">
        <v>6</v>
      </c>
      <c r="G17">
        <v>0.59000000000000008</v>
      </c>
      <c r="H17">
        <v>0.68</v>
      </c>
      <c r="I17">
        <v>0.68</v>
      </c>
      <c r="J17">
        <v>0.69000000000000006</v>
      </c>
      <c r="K17">
        <v>0.69000000000000006</v>
      </c>
      <c r="N17" t="s">
        <v>6</v>
      </c>
    </row>
    <row r="18" spans="1:21" x14ac:dyDescent="0.4">
      <c r="G18">
        <v>0.60000000000000009</v>
      </c>
      <c r="H18">
        <v>0.68</v>
      </c>
      <c r="I18">
        <v>0.69000000000000006</v>
      </c>
      <c r="J18">
        <v>0.68</v>
      </c>
      <c r="K18">
        <v>0.70000000000000007</v>
      </c>
    </row>
    <row r="19" spans="1:21" x14ac:dyDescent="0.4">
      <c r="G19">
        <v>0.60000000000000009</v>
      </c>
      <c r="H19">
        <v>0.67</v>
      </c>
      <c r="I19">
        <v>0.69000000000000006</v>
      </c>
      <c r="J19">
        <v>0.68</v>
      </c>
      <c r="K19">
        <v>0.69000000000000006</v>
      </c>
      <c r="L19">
        <f>SUM(G17:K19)/15</f>
        <v>0.66733333333333333</v>
      </c>
      <c r="M19">
        <v>0.66733333333333333</v>
      </c>
    </row>
    <row r="20" spans="1:21" x14ac:dyDescent="0.4">
      <c r="A20" t="s">
        <v>7</v>
      </c>
      <c r="G20">
        <v>0.68</v>
      </c>
      <c r="H20">
        <v>0.65</v>
      </c>
      <c r="I20">
        <v>0.68</v>
      </c>
      <c r="J20">
        <v>0.57000000000000006</v>
      </c>
      <c r="K20">
        <v>0.65</v>
      </c>
      <c r="N20" t="s">
        <v>7</v>
      </c>
    </row>
    <row r="21" spans="1:21" x14ac:dyDescent="0.4">
      <c r="G21">
        <v>0.67</v>
      </c>
      <c r="H21">
        <v>0.66</v>
      </c>
      <c r="I21">
        <v>0.69000000000000006</v>
      </c>
      <c r="J21">
        <v>0.58000000000000007</v>
      </c>
      <c r="K21">
        <v>0.64</v>
      </c>
    </row>
    <row r="22" spans="1:21" x14ac:dyDescent="0.4">
      <c r="G22">
        <v>0.67</v>
      </c>
      <c r="H22">
        <v>0.66</v>
      </c>
      <c r="I22">
        <v>0.68</v>
      </c>
      <c r="J22">
        <v>0.62</v>
      </c>
      <c r="K22">
        <v>0.64</v>
      </c>
      <c r="L22">
        <f>SUM(G20:K22)/15</f>
        <v>0.64933333333333332</v>
      </c>
      <c r="M22">
        <v>0.64933333333333332</v>
      </c>
    </row>
    <row r="23" spans="1:21" x14ac:dyDescent="0.4">
      <c r="A23" t="s">
        <v>8</v>
      </c>
      <c r="G23">
        <v>0.48</v>
      </c>
      <c r="H23">
        <v>0.4</v>
      </c>
      <c r="I23">
        <v>0.56000000000000005</v>
      </c>
      <c r="J23">
        <v>0.49</v>
      </c>
      <c r="K23">
        <v>0.54</v>
      </c>
      <c r="N23" t="s">
        <v>8</v>
      </c>
    </row>
    <row r="24" spans="1:21" x14ac:dyDescent="0.4">
      <c r="G24">
        <v>0.45999999999999996</v>
      </c>
      <c r="H24">
        <v>0.35</v>
      </c>
      <c r="I24">
        <v>0.55000000000000004</v>
      </c>
      <c r="J24">
        <v>0.47</v>
      </c>
      <c r="K24">
        <v>0.56000000000000005</v>
      </c>
    </row>
    <row r="25" spans="1:21" x14ac:dyDescent="0.4">
      <c r="G25">
        <v>0.45999999999999996</v>
      </c>
      <c r="H25">
        <v>0.38</v>
      </c>
      <c r="I25">
        <v>0.55000000000000004</v>
      </c>
      <c r="J25">
        <v>0.54</v>
      </c>
      <c r="K25">
        <v>0.55000000000000004</v>
      </c>
      <c r="L25">
        <f>SUM(G23:K25)/15</f>
        <v>0.48933333333333329</v>
      </c>
      <c r="M25">
        <v>0.48933333333333329</v>
      </c>
    </row>
    <row r="26" spans="1:21" x14ac:dyDescent="0.4">
      <c r="A26" t="s">
        <v>9</v>
      </c>
      <c r="G26">
        <v>0.62</v>
      </c>
      <c r="H26">
        <v>0.55000000000000004</v>
      </c>
      <c r="I26" s="2">
        <v>0.32999999999999996</v>
      </c>
      <c r="J26" s="2">
        <v>0.30000000000000004</v>
      </c>
      <c r="K26" s="2">
        <v>0.62</v>
      </c>
      <c r="N26" t="s">
        <v>9</v>
      </c>
      <c r="P26">
        <v>0.63</v>
      </c>
      <c r="Q26">
        <v>0.63</v>
      </c>
      <c r="R26">
        <v>0.62</v>
      </c>
    </row>
    <row r="27" spans="1:21" x14ac:dyDescent="0.4">
      <c r="G27">
        <v>0.61</v>
      </c>
      <c r="H27">
        <v>0.55000000000000004</v>
      </c>
      <c r="I27" s="2">
        <v>0.35</v>
      </c>
      <c r="J27" s="2">
        <v>0.29000000000000004</v>
      </c>
      <c r="K27" s="2">
        <v>0.62</v>
      </c>
      <c r="P27">
        <v>0.63</v>
      </c>
      <c r="Q27">
        <v>0.39</v>
      </c>
      <c r="R27">
        <v>0.28999999999999998</v>
      </c>
    </row>
    <row r="28" spans="1:21" x14ac:dyDescent="0.4">
      <c r="G28">
        <v>0.62</v>
      </c>
      <c r="H28">
        <v>0.51</v>
      </c>
      <c r="I28" s="2">
        <v>0.33999999999999997</v>
      </c>
      <c r="J28" s="2">
        <v>0.29000000000000004</v>
      </c>
      <c r="K28" s="2">
        <v>0.62</v>
      </c>
      <c r="L28">
        <f>SUM(G26:K28)/15</f>
        <v>0.48133333333333339</v>
      </c>
      <c r="M28">
        <f>(SUM(G26:K28)-SUM(I26:K28))/6</f>
        <v>0.57666666666666677</v>
      </c>
      <c r="P28">
        <v>0.63</v>
      </c>
      <c r="Q28">
        <v>0.54</v>
      </c>
      <c r="R28">
        <v>0.27</v>
      </c>
      <c r="T28">
        <f>SUM(P26:R28)/9</f>
        <v>0.51444444444444437</v>
      </c>
      <c r="U28">
        <f>(M28+T28)/2</f>
        <v>0.54555555555555557</v>
      </c>
    </row>
    <row r="30" spans="1:21" x14ac:dyDescent="0.4">
      <c r="L30">
        <f>SUM(L2:L28)/9</f>
        <v>0.59125925925925937</v>
      </c>
      <c r="M30">
        <f>SUM(M2:M28)/9</f>
        <v>0.60419753086419759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tabSelected="1" topLeftCell="F7" workbookViewId="0">
      <selection activeCell="S28" sqref="S28"/>
    </sheetView>
  </sheetViews>
  <sheetFormatPr defaultRowHeight="14.6" x14ac:dyDescent="0.4"/>
  <cols>
    <col min="1" max="1" width="12.23046875" customWidth="1"/>
    <col min="2" max="6" width="6.07421875" customWidth="1"/>
    <col min="7" max="10" width="5.23046875" customWidth="1"/>
    <col min="11" max="11" width="6.23046875" customWidth="1"/>
  </cols>
  <sheetData>
    <row r="1" spans="1:19" x14ac:dyDescent="0.4">
      <c r="A1" t="s">
        <v>20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M1" s="1" t="s">
        <v>21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9" x14ac:dyDescent="0.4">
      <c r="A2" t="s">
        <v>1</v>
      </c>
      <c r="G2">
        <v>1</v>
      </c>
      <c r="H2">
        <v>1</v>
      </c>
      <c r="I2">
        <v>1</v>
      </c>
      <c r="J2">
        <v>1</v>
      </c>
      <c r="K2">
        <v>1</v>
      </c>
      <c r="M2" t="s">
        <v>1</v>
      </c>
    </row>
    <row r="3" spans="1:19" x14ac:dyDescent="0.4">
      <c r="G3">
        <v>1</v>
      </c>
      <c r="H3">
        <v>1</v>
      </c>
      <c r="I3">
        <v>1</v>
      </c>
      <c r="J3">
        <v>1</v>
      </c>
      <c r="K3">
        <v>1</v>
      </c>
    </row>
    <row r="4" spans="1:19" x14ac:dyDescent="0.4">
      <c r="G4">
        <v>1</v>
      </c>
      <c r="H4">
        <v>1</v>
      </c>
      <c r="I4">
        <v>1</v>
      </c>
      <c r="J4">
        <v>1</v>
      </c>
      <c r="K4">
        <v>1</v>
      </c>
      <c r="L4">
        <f>COUNTIF(G2:K4,1)/15</f>
        <v>1</v>
      </c>
    </row>
    <row r="5" spans="1:19" x14ac:dyDescent="0.4">
      <c r="A5" t="s">
        <v>2</v>
      </c>
      <c r="G5">
        <v>2</v>
      </c>
      <c r="H5">
        <v>2</v>
      </c>
      <c r="I5">
        <v>2</v>
      </c>
      <c r="J5">
        <v>2</v>
      </c>
      <c r="K5">
        <v>2</v>
      </c>
      <c r="M5" t="s">
        <v>2</v>
      </c>
    </row>
    <row r="6" spans="1:19" x14ac:dyDescent="0.4">
      <c r="G6">
        <v>2</v>
      </c>
      <c r="H6">
        <v>2</v>
      </c>
      <c r="I6">
        <v>2</v>
      </c>
      <c r="J6">
        <v>2</v>
      </c>
      <c r="K6">
        <v>2</v>
      </c>
    </row>
    <row r="7" spans="1:19" x14ac:dyDescent="0.4">
      <c r="G7">
        <v>2</v>
      </c>
      <c r="H7">
        <v>2</v>
      </c>
      <c r="I7">
        <v>2</v>
      </c>
      <c r="J7">
        <v>2</v>
      </c>
      <c r="K7">
        <v>2</v>
      </c>
      <c r="L7">
        <f>COUNTIF(G5:K7,2)/15</f>
        <v>1</v>
      </c>
    </row>
    <row r="8" spans="1:19" x14ac:dyDescent="0.4">
      <c r="A8" t="s">
        <v>3</v>
      </c>
      <c r="G8">
        <v>3</v>
      </c>
      <c r="H8">
        <v>5</v>
      </c>
      <c r="I8">
        <v>3</v>
      </c>
      <c r="J8">
        <v>5</v>
      </c>
      <c r="K8">
        <v>3</v>
      </c>
      <c r="M8" t="s">
        <v>3</v>
      </c>
      <c r="O8">
        <v>3</v>
      </c>
      <c r="Q8">
        <v>3</v>
      </c>
    </row>
    <row r="9" spans="1:19" x14ac:dyDescent="0.4">
      <c r="G9">
        <v>3</v>
      </c>
      <c r="H9">
        <v>5</v>
      </c>
      <c r="I9">
        <v>3</v>
      </c>
      <c r="J9">
        <v>5</v>
      </c>
      <c r="K9">
        <v>3</v>
      </c>
      <c r="O9">
        <v>3</v>
      </c>
      <c r="Q9">
        <v>3</v>
      </c>
    </row>
    <row r="10" spans="1:19" x14ac:dyDescent="0.4">
      <c r="G10">
        <v>3</v>
      </c>
      <c r="H10">
        <v>5</v>
      </c>
      <c r="I10">
        <v>3</v>
      </c>
      <c r="J10">
        <v>3</v>
      </c>
      <c r="K10">
        <v>3</v>
      </c>
      <c r="L10">
        <f>COUNTIF(G8:K10,3)/15</f>
        <v>0.66666666666666663</v>
      </c>
      <c r="O10">
        <v>3</v>
      </c>
      <c r="Q10">
        <v>3</v>
      </c>
      <c r="S10">
        <v>1</v>
      </c>
    </row>
    <row r="11" spans="1:19" x14ac:dyDescent="0.4">
      <c r="A11" t="s">
        <v>4</v>
      </c>
      <c r="G11">
        <v>4</v>
      </c>
      <c r="H11">
        <v>4</v>
      </c>
      <c r="I11">
        <v>4</v>
      </c>
      <c r="J11">
        <v>4</v>
      </c>
      <c r="K11">
        <v>4</v>
      </c>
      <c r="M11" t="s">
        <v>4</v>
      </c>
    </row>
    <row r="12" spans="1:19" x14ac:dyDescent="0.4">
      <c r="G12">
        <v>4</v>
      </c>
      <c r="H12">
        <v>4</v>
      </c>
      <c r="I12">
        <v>4</v>
      </c>
      <c r="J12">
        <v>4</v>
      </c>
      <c r="K12">
        <v>4</v>
      </c>
    </row>
    <row r="13" spans="1:19" x14ac:dyDescent="0.4">
      <c r="G13">
        <v>4</v>
      </c>
      <c r="H13">
        <v>4</v>
      </c>
      <c r="I13">
        <v>4</v>
      </c>
      <c r="J13">
        <v>4</v>
      </c>
      <c r="K13">
        <v>4</v>
      </c>
      <c r="L13">
        <f>COUNTIF(G11:K13,4)/15</f>
        <v>1</v>
      </c>
    </row>
    <row r="14" spans="1:19" x14ac:dyDescent="0.4">
      <c r="A14" t="s">
        <v>5</v>
      </c>
      <c r="G14">
        <v>5</v>
      </c>
      <c r="H14">
        <v>5</v>
      </c>
      <c r="I14">
        <v>5</v>
      </c>
      <c r="J14">
        <v>5</v>
      </c>
      <c r="K14">
        <v>5</v>
      </c>
      <c r="M14" t="s">
        <v>5</v>
      </c>
    </row>
    <row r="15" spans="1:19" x14ac:dyDescent="0.4">
      <c r="G15">
        <v>5</v>
      </c>
      <c r="H15">
        <v>5</v>
      </c>
      <c r="I15">
        <v>5</v>
      </c>
      <c r="J15">
        <v>5</v>
      </c>
      <c r="K15">
        <v>5</v>
      </c>
    </row>
    <row r="16" spans="1:19" x14ac:dyDescent="0.4">
      <c r="G16">
        <v>5</v>
      </c>
      <c r="H16">
        <v>5</v>
      </c>
      <c r="I16">
        <v>5</v>
      </c>
      <c r="J16">
        <v>5</v>
      </c>
      <c r="K16">
        <v>5</v>
      </c>
      <c r="L16">
        <f>COUNTIF(G14:K16,5)/15</f>
        <v>1</v>
      </c>
    </row>
    <row r="17" spans="1:19" x14ac:dyDescent="0.4">
      <c r="A17" t="s">
        <v>6</v>
      </c>
      <c r="G17">
        <v>6</v>
      </c>
      <c r="H17">
        <v>6</v>
      </c>
      <c r="I17">
        <v>6</v>
      </c>
      <c r="J17">
        <v>6</v>
      </c>
      <c r="K17">
        <v>6</v>
      </c>
      <c r="M17" t="s">
        <v>6</v>
      </c>
    </row>
    <row r="18" spans="1:19" x14ac:dyDescent="0.4">
      <c r="G18">
        <v>6</v>
      </c>
      <c r="H18">
        <v>6</v>
      </c>
      <c r="I18">
        <v>6</v>
      </c>
      <c r="J18">
        <v>6</v>
      </c>
      <c r="K18">
        <v>6</v>
      </c>
    </row>
    <row r="19" spans="1:19" x14ac:dyDescent="0.4">
      <c r="G19">
        <v>6</v>
      </c>
      <c r="H19">
        <v>6</v>
      </c>
      <c r="I19">
        <v>6</v>
      </c>
      <c r="J19">
        <v>6</v>
      </c>
      <c r="K19">
        <v>6</v>
      </c>
      <c r="L19">
        <f>COUNTIF(G17:K19,6)/15</f>
        <v>1</v>
      </c>
    </row>
    <row r="20" spans="1:19" x14ac:dyDescent="0.4">
      <c r="A20" t="s">
        <v>7</v>
      </c>
      <c r="G20">
        <v>7</v>
      </c>
      <c r="H20">
        <v>7</v>
      </c>
      <c r="I20">
        <v>7</v>
      </c>
      <c r="J20">
        <v>7</v>
      </c>
      <c r="K20">
        <v>7</v>
      </c>
      <c r="M20" t="s">
        <v>7</v>
      </c>
    </row>
    <row r="21" spans="1:19" x14ac:dyDescent="0.4">
      <c r="G21">
        <v>7</v>
      </c>
      <c r="H21">
        <v>7</v>
      </c>
      <c r="I21">
        <v>7</v>
      </c>
      <c r="J21">
        <v>7</v>
      </c>
      <c r="K21">
        <v>7</v>
      </c>
    </row>
    <row r="22" spans="1:19" x14ac:dyDescent="0.4">
      <c r="G22">
        <v>7</v>
      </c>
      <c r="H22">
        <v>7</v>
      </c>
      <c r="I22">
        <v>7</v>
      </c>
      <c r="J22">
        <v>7</v>
      </c>
      <c r="K22">
        <v>7</v>
      </c>
      <c r="L22">
        <f>COUNTIF(G20:K22,7)/15</f>
        <v>1</v>
      </c>
    </row>
    <row r="23" spans="1:19" x14ac:dyDescent="0.4">
      <c r="A23" t="s">
        <v>8</v>
      </c>
      <c r="G23">
        <v>8</v>
      </c>
      <c r="H23">
        <v>8</v>
      </c>
      <c r="I23">
        <v>8</v>
      </c>
      <c r="J23">
        <v>8</v>
      </c>
      <c r="K23">
        <v>8</v>
      </c>
      <c r="M23" t="s">
        <v>8</v>
      </c>
    </row>
    <row r="24" spans="1:19" x14ac:dyDescent="0.4">
      <c r="G24">
        <v>8</v>
      </c>
      <c r="H24">
        <v>8</v>
      </c>
      <c r="I24">
        <v>8</v>
      </c>
      <c r="J24">
        <v>8</v>
      </c>
      <c r="K24">
        <v>8</v>
      </c>
    </row>
    <row r="25" spans="1:19" x14ac:dyDescent="0.4">
      <c r="G25">
        <v>8</v>
      </c>
      <c r="H25">
        <v>8</v>
      </c>
      <c r="I25">
        <v>8</v>
      </c>
      <c r="J25">
        <v>8</v>
      </c>
      <c r="K25">
        <v>8</v>
      </c>
      <c r="L25">
        <f>COUNTIF(G23:K25,8)/15</f>
        <v>1</v>
      </c>
    </row>
    <row r="26" spans="1:19" x14ac:dyDescent="0.4">
      <c r="A26" t="s">
        <v>9</v>
      </c>
      <c r="G26">
        <v>9</v>
      </c>
      <c r="H26">
        <v>8</v>
      </c>
      <c r="I26">
        <v>8</v>
      </c>
      <c r="J26">
        <v>8</v>
      </c>
      <c r="K26">
        <v>9</v>
      </c>
      <c r="M26" t="s">
        <v>9</v>
      </c>
      <c r="O26">
        <v>9</v>
      </c>
      <c r="P26">
        <v>9</v>
      </c>
      <c r="Q26">
        <v>9</v>
      </c>
    </row>
    <row r="27" spans="1:19" x14ac:dyDescent="0.4">
      <c r="G27">
        <v>9</v>
      </c>
      <c r="H27">
        <v>8</v>
      </c>
      <c r="I27">
        <v>8</v>
      </c>
      <c r="J27">
        <v>8</v>
      </c>
      <c r="K27">
        <v>9</v>
      </c>
      <c r="O27">
        <v>9</v>
      </c>
      <c r="P27">
        <v>8</v>
      </c>
      <c r="Q27">
        <v>8</v>
      </c>
    </row>
    <row r="28" spans="1:19" x14ac:dyDescent="0.4">
      <c r="G28">
        <v>9</v>
      </c>
      <c r="H28">
        <v>8</v>
      </c>
      <c r="I28">
        <v>8</v>
      </c>
      <c r="J28">
        <v>8</v>
      </c>
      <c r="K28">
        <v>9</v>
      </c>
      <c r="L28">
        <f>COUNTIF(G26:K28,9)/15</f>
        <v>0.4</v>
      </c>
      <c r="O28">
        <v>9</v>
      </c>
      <c r="P28">
        <v>8</v>
      </c>
      <c r="Q28">
        <v>8</v>
      </c>
      <c r="S28">
        <v>0.73329999999999995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2026-01-28T21:14:31Z</dcterms:modified>
</cp:coreProperties>
</file>